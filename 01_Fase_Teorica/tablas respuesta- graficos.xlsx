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54875e19ab6d72/Escritorio/UNIVERSIDAD/asignaturas quinto/Tfg/GITHUB/"/>
    </mc:Choice>
  </mc:AlternateContent>
  <xr:revisionPtr revIDLastSave="0" documentId="8_{3CCD5943-C360-40A1-904F-22C93298322B}" xr6:coauthVersionLast="47" xr6:coauthVersionMax="47" xr10:uidLastSave="{00000000-0000-0000-0000-000000000000}"/>
  <bookViews>
    <workbookView xWindow="-108" yWindow="-108" windowWidth="23256" windowHeight="12456" xr2:uid="{D919A45C-3196-485D-A527-FB58C7A4C795}"/>
  </bookViews>
  <sheets>
    <sheet name="Datos" sheetId="1" r:id="rId1"/>
    <sheet name="grafi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/>
  <c r="K3" i="2"/>
  <c r="L2" i="2"/>
  <c r="K2" i="2"/>
  <c r="H3" i="2"/>
  <c r="H4" i="2"/>
  <c r="H5" i="2"/>
  <c r="H6" i="2"/>
  <c r="H2" i="2"/>
  <c r="G3" i="2"/>
  <c r="G4" i="2"/>
  <c r="G5" i="2"/>
  <c r="G6" i="2"/>
  <c r="G2" i="2"/>
  <c r="E3" i="2"/>
  <c r="E4" i="2"/>
  <c r="E5" i="2"/>
  <c r="E6" i="2"/>
  <c r="E2" i="2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K6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3" i="1"/>
  <c r="K3" i="1"/>
  <c r="I3" i="1"/>
  <c r="G3" i="1"/>
</calcChain>
</file>

<file path=xl/sharedStrings.xml><?xml version="1.0" encoding="utf-8"?>
<sst xmlns="http://schemas.openxmlformats.org/spreadsheetml/2006/main" count="628" uniqueCount="34">
  <si>
    <t>Nºpreguntas</t>
  </si>
  <si>
    <t>Respuesta oficial</t>
  </si>
  <si>
    <t>Bloque</t>
  </si>
  <si>
    <t>1.Prog e Ing</t>
  </si>
  <si>
    <t xml:space="preserve">Acierto </t>
  </si>
  <si>
    <t>acierto v1p2</t>
  </si>
  <si>
    <t>acierto v2p1</t>
  </si>
  <si>
    <t>acierto v2p2</t>
  </si>
  <si>
    <t>1. Prog e Ing</t>
  </si>
  <si>
    <t>2.Base de datos</t>
  </si>
  <si>
    <t>3.Sisemas y hadware</t>
  </si>
  <si>
    <t>3.Sistemas y hadware</t>
  </si>
  <si>
    <t>4.Redes y comunicacion</t>
  </si>
  <si>
    <t>5.Ciberseguridad</t>
  </si>
  <si>
    <t>D</t>
  </si>
  <si>
    <t>B</t>
  </si>
  <si>
    <t>A</t>
  </si>
  <si>
    <t>C</t>
  </si>
  <si>
    <t>V5.5+ PROMPT 1</t>
  </si>
  <si>
    <t>Bloque Temático</t>
  </si>
  <si>
    <t>GPT-4.1 (Prompt 1)</t>
  </si>
  <si>
    <t>GPT-4.1 (Prompt 2)</t>
  </si>
  <si>
    <t>GPT-5.5 (Prompt 2)</t>
  </si>
  <si>
    <t>GPT-5.5 (Prompt 1)</t>
  </si>
  <si>
    <t>v5+ prompt 2</t>
  </si>
  <si>
    <t>v4.1+ prompt1</t>
  </si>
  <si>
    <t>v4.1 + prompt 2</t>
  </si>
  <si>
    <t>Bloque tematico</t>
  </si>
  <si>
    <t>Tasa Media de Éxito</t>
  </si>
  <si>
    <t>Modelo</t>
  </si>
  <si>
    <t>Prompt 1 (Directo)</t>
  </si>
  <si>
    <t>Prompt 2 (Analítico)</t>
  </si>
  <si>
    <t>GPT-4.1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</si>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</sst>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Figura 4.1: Comparativa Global de Precisión por Modelo y Prompt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GPT-4.1 (Prompt 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graficos!$A$2:$A$6</c:f>
              <c:strCache>
                <c:ptCount val="5"/>
                <c:pt idx="0">
                  <c:v>1.Prog e Ing</c:v>
                </c:pt>
                <c:pt idx="1">
                  <c:v>2.Base de datos</c:v>
                </c:pt>
                <c:pt idx="2">
                  <c:v>3.Sistemas y hadware</c:v>
                </c:pt>
                <c:pt idx="3">
                  <c:v>4.Redes y comunicacion</c:v>
                </c:pt>
                <c:pt idx="4">
                  <c:v>5.Ciberseguridad</c:v>
                </c:pt>
              </c:strCache>
            </c:strRef>
          </c:cat>
          <c:val>
            <c:numRef>
              <c:f>graficos!$B$2:$B$6</c:f>
              <c:numCache>
                <c:formatCode>0.00%</c:formatCode>
                <c:ptCount val="5"/>
                <c:pt idx="0">
                  <c:v>1</c:v>
                </c:pt>
                <c:pt idx="1">
                  <c:v>0.95</c:v>
                </c:pt>
                <c:pt idx="2">
                  <c:v>1</c:v>
                </c:pt>
                <c:pt idx="3">
                  <c:v>0.95</c:v>
                </c:pt>
                <c:pt idx="4">
                  <c:v>0.68421052631578949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3-4B01-8513-3C4DE10B1508}"/>
            </c:ext>
          </c:extLst>
        </c:ser>
        <c:ser>
          <c:idx val="1"/>
          <c:order val="1"/>
          <c:tx>
            <c:strRef>
              <c:f>graficos!$C$1</c:f>
              <c:strCache>
                <c:ptCount val="1"/>
                <c:pt idx="0">
                  <c:v>GPT-4.1 (Prompt 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graficos!$A$2:$A$6</c:f>
              <c:strCache>
                <c:ptCount val="5"/>
                <c:pt idx="0">
                  <c:v>1.Prog e Ing</c:v>
                </c:pt>
                <c:pt idx="1">
                  <c:v>2.Base de datos</c:v>
                </c:pt>
                <c:pt idx="2">
                  <c:v>3.Sistemas y hadware</c:v>
                </c:pt>
                <c:pt idx="3">
                  <c:v>4.Redes y comunicacion</c:v>
                </c:pt>
                <c:pt idx="4">
                  <c:v>5.Ciberseguridad</c:v>
                </c:pt>
              </c:strCache>
            </c:strRef>
          </c:cat>
          <c:val>
            <c:numRef>
              <c:f>graficos!$C$2:$C$6</c:f>
              <c:numCache>
                <c:formatCode>0.00%</c:formatCode>
                <c:ptCount val="5"/>
                <c:pt idx="0">
                  <c:v>1</c:v>
                </c:pt>
                <c:pt idx="1">
                  <c:v>0.95</c:v>
                </c:pt>
                <c:pt idx="2">
                  <c:v>1</c:v>
                </c:pt>
                <c:pt idx="3">
                  <c:v>1</c:v>
                </c:pt>
                <c:pt idx="4">
                  <c:v>0.52631578947368418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3-4B01-8513-3C4DE10B1508}"/>
            </c:ext>
          </c:extLst>
        </c:ser>
        <c:ser>
          <c:idx val="2"/>
          <c:order val="2"/>
          <c:tx>
            <c:strRef>
              <c:f>graficos!$D$1</c:f>
              <c:strCache>
                <c:ptCount val="1"/>
                <c:pt idx="0">
                  <c:v>GPT-5.5 (Prompt 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graficos!$A$2:$A$6</c:f>
              <c:strCache>
                <c:ptCount val="5"/>
                <c:pt idx="0">
                  <c:v>1.Prog e Ing</c:v>
                </c:pt>
                <c:pt idx="1">
                  <c:v>2.Base de datos</c:v>
                </c:pt>
                <c:pt idx="2">
                  <c:v>3.Sistemas y hadware</c:v>
                </c:pt>
                <c:pt idx="3">
                  <c:v>4.Redes y comunicacion</c:v>
                </c:pt>
                <c:pt idx="4">
                  <c:v>5.Ciberseguridad</c:v>
                </c:pt>
              </c:strCache>
            </c:strRef>
          </c:cat>
          <c:val>
            <c:numRef>
              <c:f>graficos!$D$2:$D$6</c:f>
              <c:numCache>
                <c:formatCode>0.00%</c:formatCode>
                <c:ptCount val="5"/>
                <c:pt idx="0">
                  <c:v>1</c:v>
                </c:pt>
                <c:pt idx="1">
                  <c:v>0.95</c:v>
                </c:pt>
                <c:pt idx="2">
                  <c:v>1</c:v>
                </c:pt>
                <c:pt idx="3">
                  <c:v>1</c:v>
                </c:pt>
                <c:pt idx="4">
                  <c:v>0.57894736842105265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B3-4B01-8513-3C4DE10B1508}"/>
            </c:ext>
          </c:extLst>
        </c:ser>
        <c:ser>
          <c:idx val="3"/>
          <c:order val="3"/>
          <c:tx>
            <c:strRef>
              <c:f>graficos!$E$1</c:f>
              <c:strCache>
                <c:ptCount val="1"/>
                <c:pt idx="0">
                  <c:v>GPT-5.5 (Prompt 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graficos!$A$2:$A$6</c:f>
              <c:strCache>
                <c:ptCount val="5"/>
                <c:pt idx="0">
                  <c:v>1.Prog e Ing</c:v>
                </c:pt>
                <c:pt idx="1">
                  <c:v>2.Base de datos</c:v>
                </c:pt>
                <c:pt idx="2">
                  <c:v>3.Sistemas y hadware</c:v>
                </c:pt>
                <c:pt idx="3">
                  <c:v>4.Redes y comunicacion</c:v>
                </c:pt>
                <c:pt idx="4">
                  <c:v>5.Ciberseguridad</c:v>
                </c:pt>
              </c:strCache>
            </c:strRef>
          </c:cat>
          <c:val>
            <c:numRef>
              <c:f>graficos!$E$2:$E$6</c:f>
              <c:numCache>
                <c:formatCode>0.00%</c:formatCode>
                <c:ptCount val="5"/>
                <c:pt idx="0">
                  <c:v>1</c:v>
                </c:pt>
                <c:pt idx="1">
                  <c:v>0.95</c:v>
                </c:pt>
                <c:pt idx="2">
                  <c:v>1</c:v>
                </c:pt>
                <c:pt idx="3">
                  <c:v>1</c:v>
                </c:pt>
                <c:pt idx="4">
                  <c:v>0.63157894736842102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B3-4B01-8513-3C4DE10B1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28384"/>
        <c:axId val="2118499952"/>
      </c:barChart>
      <c:catAx>
        <c:axId val="4612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8499952"/>
        <c:crosses val="autoZero"/>
        <c:auto val="1"/>
        <c:lblAlgn val="ctr"/>
        <c:lblOffset val="100"/>
        <c:noMultiLvlLbl val="0"/>
      </c:catAx>
      <c:valAx>
        <c:axId val="2118499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12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Figura 4.2: Perfil de Rendimiento por Bloque Temático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graficos!$H$1</c:f>
              <c:strCache>
                <c:ptCount val="1"/>
                <c:pt idx="0">
                  <c:v>Tasa Media de Éxito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graficos!$G$2:$G$6</c:f>
              <c:strCache>
                <c:ptCount val="5"/>
                <c:pt idx="0">
                  <c:v>1.Prog e Ing</c:v>
                </c:pt>
                <c:pt idx="1">
                  <c:v>2.Base de datos</c:v>
                </c:pt>
                <c:pt idx="2">
                  <c:v>3.Sistemas y hadware</c:v>
                </c:pt>
                <c:pt idx="3">
                  <c:v>4.Redes y comunicacion</c:v>
                </c:pt>
                <c:pt idx="4">
                  <c:v>5.Ciberseguridad</c:v>
                </c:pt>
              </c:strCache>
            </c:strRef>
          </c:cat>
          <c:val>
            <c:numRef>
              <c:f>graficos!$H$2:$H$6</c:f>
              <c:numCache>
                <c:formatCode>0.00%</c:formatCode>
                <c:ptCount val="5"/>
                <c:pt idx="0">
                  <c:v>1</c:v>
                </c:pt>
                <c:pt idx="1">
                  <c:v>0.95</c:v>
                </c:pt>
                <c:pt idx="2">
                  <c:v>1</c:v>
                </c:pt>
                <c:pt idx="3">
                  <c:v>0.98750000000000004</c:v>
                </c:pt>
                <c:pt idx="4">
                  <c:v>0.60526315789473684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E-416B-9868-53455C760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831824"/>
        <c:axId val="515536496"/>
      </c:radarChart>
      <c:catAx>
        <c:axId val="4318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36496"/>
        <c:crosses val="autoZero"/>
        <c:auto val="1"/>
        <c:lblAlgn val="ctr"/>
        <c:lblOffset val="100"/>
        <c:noMultiLvlLbl val="0"/>
      </c:catAx>
      <c:valAx>
        <c:axId val="5155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83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Figura 3.3: Impacto del Prompting (Directo vs. Analítico)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graficos!$J$2</c:f>
              <c:strCache>
                <c:ptCount val="1"/>
                <c:pt idx="0">
                  <c:v>GPT-4.1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graficos!$K$1:$L$1</c:f>
              <c:strCache>
                <c:ptCount val="2"/>
                <c:pt idx="0">
                  <c:v>Prompt 1 (Directo)</c:v>
                </c:pt>
                <c:pt idx="1">
                  <c:v>Prompt 2 (Analítico)</c:v>
                </c:pt>
              </c:strCache>
            </c:strRef>
          </c:cat>
          <c:val>
            <c:numRef>
              <c:f>graficos!$K$2:$L$2</c:f>
              <c:numCache>
                <c:formatCode>0.00%</c:formatCode>
                <c:ptCount val="2"/>
                <c:pt idx="0">
                  <c:v>0.9168421052631579</c:v>
                </c:pt>
                <c:pt idx="1">
                  <c:v>0.89526315789473687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B-4B37-AB28-463800CBDCDB}"/>
            </c:ext>
          </c:extLst>
        </c:ser>
        <c:ser>
          <c:idx val="1"/>
          <c:order val="1"/>
          <c:tx>
            <c:strRef>
              <c:f>graficos!$J$3</c:f>
              <c:strCache>
                <c:ptCount val="1"/>
                <c:pt idx="0">
                  <c:v>GPT-5.5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graficos!$K$1:$L$1</c:f>
              <c:strCache>
                <c:ptCount val="2"/>
                <c:pt idx="0">
                  <c:v>Prompt 1 (Directo)</c:v>
                </c:pt>
                <c:pt idx="1">
                  <c:v>Prompt 2 (Analítico)</c:v>
                </c:pt>
              </c:strCache>
            </c:strRef>
          </c:cat>
          <c:val>
            <c:numRef>
              <c:f>graficos!$K$3:$L$3</c:f>
              <c:numCache>
                <c:formatCode>0.00%</c:formatCode>
                <c:ptCount val="2"/>
                <c:pt idx="0">
                  <c:v>0.90578947368421048</c:v>
                </c:pt>
                <c:pt idx="1">
                  <c:v>0.91631578947368431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EB-4B37-AB28-463800CBD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33216"/>
        <c:axId val="515602736"/>
      </c:barChart>
      <c:catAx>
        <c:axId val="43183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602736"/>
        <c:crosses val="autoZero"/>
        <c:auto val="1"/>
        <c:lblAlgn val="ctr"/>
        <c:lblOffset val="100"/>
        <c:noMultiLvlLbl val="0"/>
      </c:catAx>
      <c:valAx>
        <c:axId val="515602736"/>
        <c:scaling>
          <c:orientation val="minMax"/>
          <c:max val="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83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861060</xdr:colOff>
      <xdr:row>8</xdr:row>
      <xdr:rowOff>171450</xdr:rowOff>
    </xdr:from>
    <xdr:to>
      <xdr:col>4</xdr:col>
      <xdr:colOff>213360</xdr:colOff>
      <xdr:row>23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C8B723-36B9-195C-4971-EBDBB6B18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312420</xdr:colOff>
      <xdr:row>10</xdr:row>
      <xdr:rowOff>49530</xdr:rowOff>
    </xdr:from>
    <xdr:to>
      <xdr:col>7</xdr:col>
      <xdr:colOff>1104900</xdr:colOff>
      <xdr:row>23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B4641B-3A1F-2C6B-4F0D-F7CFEF80E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6</xdr:row>
      <xdr:rowOff>148590</xdr:rowOff>
    </xdr:from>
    <xdr:to>
      <xdr:col>13</xdr:col>
      <xdr:colOff>106680</xdr:colOff>
      <xdr:row>21</xdr:row>
      <xdr:rowOff>148590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ACD358-FD4A-7CEF-3CFB-14396EE91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9D4E-8480-474B-A8AC-AACBB2FD01DF}">
  <dimension ref="A2:K103"/>
  <sheetViews>
    <sheetView tabSelected="1" topLeftCell="A58" workbookViewId="0">
      <selection activeCell="A63" sqref="A63:K84"/>
    </sheetView>
  </sheetViews>
  <sheetFormatPr baseColWidth="10" defaultRowHeight="14.4"/>
  <cols>
    <col min="1" max="1" width="12.44140625" customWidth="1"/>
    <col min="2" max="2" width="23.33203125" customWidth="1"/>
    <col min="3" max="3" width="15.5546875" customWidth="1"/>
    <col min="4" max="4" width="20" customWidth="1"/>
    <col min="5" max="5" width="18.109375" customWidth="1"/>
    <col min="6" max="6" width="17.33203125" customWidth="1"/>
    <col min="7" max="7" width="13.5546875" customWidth="1"/>
    <col min="8" max="8" width="14.77734375" customWidth="1"/>
    <col min="10" max="10" width="13.33203125" customWidth="1"/>
  </cols>
  <sheetData>
    <row r="2" spans="1:11">
      <c r="A2" t="s">
        <v>0</v>
      </c>
      <c r="B2" t="s">
        <v>2</v>
      </c>
      <c r="C2" t="s">
        <v>1</v>
      </c>
      <c r="D2" t="s">
        <v>18</v>
      </c>
      <c r="E2" t="s">
        <v>4</v>
      </c>
      <c r="F2" t="s">
        <v>24</v>
      </c>
      <c r="G2" t="s">
        <v>5</v>
      </c>
      <c r="H2" t="s">
        <v>25</v>
      </c>
      <c r="I2" t="s">
        <v>6</v>
      </c>
      <c r="J2" t="s">
        <v>26</v>
      </c>
      <c r="K2" t="s">
        <v>7</v>
      </c>
    </row>
    <row r="3" spans="1:11">
      <c r="A3">
        <v>1</v>
      </c>
      <c r="B3" s="1" t="s">
        <v>3</v>
      </c>
      <c r="C3" t="s">
        <v>14</v>
      </c>
      <c r="D3" t="s">
        <v>14</v>
      </c>
      <c r="E3">
        <f>IF(D3="", "", IF(D3=C3, 1, 0))</f>
        <v>1</v>
      </c>
      <c r="F3" t="s">
        <v>14</v>
      </c>
      <c r="G3">
        <f>IF(F3="", "", IF(F3=C3, 1, 0))</f>
        <v>1</v>
      </c>
      <c r="H3" t="s">
        <v>14</v>
      </c>
      <c r="I3">
        <f>IF(H3="", "", IF(H3=C3, 1, 0))</f>
        <v>1</v>
      </c>
      <c r="J3" t="s">
        <v>14</v>
      </c>
      <c r="K3">
        <f>IF(J3="", "", IF(J3=C3, 1, 0))</f>
        <v>1</v>
      </c>
    </row>
    <row r="4" spans="1:11">
      <c r="A4">
        <v>2</v>
      </c>
      <c r="B4" s="1" t="s">
        <v>8</v>
      </c>
      <c r="C4" t="s">
        <v>15</v>
      </c>
      <c r="D4" t="s">
        <v>15</v>
      </c>
      <c r="E4">
        <f t="shared" ref="E4:E67" si="0">IF(D4="", "", IF(D4=C4, 1, 0))</f>
        <v>1</v>
      </c>
      <c r="F4" t="s">
        <v>15</v>
      </c>
      <c r="G4">
        <f t="shared" ref="G4:G67" si="1">IF(F4="", "", IF(F4=C4, 1, 0))</f>
        <v>1</v>
      </c>
      <c r="H4" t="s">
        <v>15</v>
      </c>
      <c r="I4">
        <f t="shared" ref="I4:I67" si="2">IF(H4="", "", IF(H4=C4, 1, 0))</f>
        <v>1</v>
      </c>
      <c r="J4" t="s">
        <v>15</v>
      </c>
      <c r="K4">
        <f t="shared" ref="K4:K67" si="3">IF(J4="", "", IF(J4=C4, 1, 0))</f>
        <v>1</v>
      </c>
    </row>
    <row r="5" spans="1:11">
      <c r="A5">
        <v>3</v>
      </c>
      <c r="B5" s="1" t="s">
        <v>8</v>
      </c>
      <c r="C5" t="s">
        <v>14</v>
      </c>
      <c r="D5" t="s">
        <v>14</v>
      </c>
      <c r="E5">
        <f t="shared" si="0"/>
        <v>1</v>
      </c>
      <c r="F5" t="s">
        <v>14</v>
      </c>
      <c r="G5">
        <f t="shared" si="1"/>
        <v>1</v>
      </c>
      <c r="H5" t="s">
        <v>14</v>
      </c>
      <c r="I5">
        <f t="shared" si="2"/>
        <v>1</v>
      </c>
      <c r="J5" t="s">
        <v>14</v>
      </c>
      <c r="K5">
        <f t="shared" si="3"/>
        <v>1</v>
      </c>
    </row>
    <row r="6" spans="1:11">
      <c r="A6">
        <v>4</v>
      </c>
      <c r="B6" s="1" t="s">
        <v>8</v>
      </c>
      <c r="C6" t="s">
        <v>16</v>
      </c>
      <c r="D6" t="s">
        <v>16</v>
      </c>
      <c r="E6">
        <f t="shared" si="0"/>
        <v>1</v>
      </c>
      <c r="F6" t="s">
        <v>16</v>
      </c>
      <c r="G6">
        <f t="shared" si="1"/>
        <v>1</v>
      </c>
      <c r="H6" t="s">
        <v>16</v>
      </c>
      <c r="I6">
        <f t="shared" si="2"/>
        <v>1</v>
      </c>
      <c r="J6" t="s">
        <v>16</v>
      </c>
      <c r="K6">
        <f t="shared" si="3"/>
        <v>1</v>
      </c>
    </row>
    <row r="7" spans="1:11">
      <c r="A7">
        <v>5</v>
      </c>
      <c r="B7" s="1" t="s">
        <v>8</v>
      </c>
      <c r="C7" t="s">
        <v>16</v>
      </c>
      <c r="D7" t="s">
        <v>16</v>
      </c>
      <c r="E7">
        <f t="shared" si="0"/>
        <v>1</v>
      </c>
      <c r="F7" t="s">
        <v>16</v>
      </c>
      <c r="G7">
        <f t="shared" si="1"/>
        <v>1</v>
      </c>
      <c r="H7" t="s">
        <v>16</v>
      </c>
      <c r="I7">
        <f t="shared" si="2"/>
        <v>1</v>
      </c>
      <c r="J7" t="s">
        <v>16</v>
      </c>
      <c r="K7">
        <f t="shared" si="3"/>
        <v>1</v>
      </c>
    </row>
    <row r="8" spans="1:11">
      <c r="A8">
        <v>6</v>
      </c>
      <c r="B8" s="1" t="s">
        <v>8</v>
      </c>
      <c r="C8" t="s">
        <v>17</v>
      </c>
      <c r="D8" t="s">
        <v>17</v>
      </c>
      <c r="E8">
        <f t="shared" si="0"/>
        <v>1</v>
      </c>
      <c r="F8" t="s">
        <v>17</v>
      </c>
      <c r="G8">
        <f t="shared" si="1"/>
        <v>1</v>
      </c>
      <c r="H8" t="s">
        <v>17</v>
      </c>
      <c r="I8">
        <f t="shared" si="2"/>
        <v>1</v>
      </c>
      <c r="J8" t="s">
        <v>17</v>
      </c>
      <c r="K8">
        <f t="shared" si="3"/>
        <v>1</v>
      </c>
    </row>
    <row r="9" spans="1:11">
      <c r="A9">
        <v>7</v>
      </c>
      <c r="B9" s="1" t="s">
        <v>8</v>
      </c>
      <c r="C9" t="s">
        <v>17</v>
      </c>
      <c r="D9" t="s">
        <v>17</v>
      </c>
      <c r="E9">
        <f t="shared" si="0"/>
        <v>1</v>
      </c>
      <c r="F9" t="s">
        <v>17</v>
      </c>
      <c r="G9">
        <f t="shared" si="1"/>
        <v>1</v>
      </c>
      <c r="H9" t="s">
        <v>17</v>
      </c>
      <c r="I9">
        <f t="shared" si="2"/>
        <v>1</v>
      </c>
      <c r="J9" t="s">
        <v>17</v>
      </c>
      <c r="K9">
        <f t="shared" si="3"/>
        <v>1</v>
      </c>
    </row>
    <row r="10" spans="1:11">
      <c r="A10">
        <v>8</v>
      </c>
      <c r="B10" s="1" t="s">
        <v>8</v>
      </c>
      <c r="C10" t="s">
        <v>14</v>
      </c>
      <c r="D10" t="s">
        <v>14</v>
      </c>
      <c r="E10">
        <f t="shared" si="0"/>
        <v>1</v>
      </c>
      <c r="F10" t="s">
        <v>14</v>
      </c>
      <c r="G10">
        <f t="shared" si="1"/>
        <v>1</v>
      </c>
      <c r="H10" t="s">
        <v>14</v>
      </c>
      <c r="I10">
        <f t="shared" si="2"/>
        <v>1</v>
      </c>
      <c r="J10" t="s">
        <v>14</v>
      </c>
      <c r="K10">
        <f t="shared" si="3"/>
        <v>1</v>
      </c>
    </row>
    <row r="11" spans="1:11">
      <c r="A11">
        <v>9</v>
      </c>
      <c r="B11" s="1" t="s">
        <v>8</v>
      </c>
      <c r="C11" t="s">
        <v>17</v>
      </c>
      <c r="D11" t="s">
        <v>17</v>
      </c>
      <c r="E11">
        <f t="shared" si="0"/>
        <v>1</v>
      </c>
      <c r="F11" t="s">
        <v>17</v>
      </c>
      <c r="G11">
        <f t="shared" si="1"/>
        <v>1</v>
      </c>
      <c r="H11" t="s">
        <v>17</v>
      </c>
      <c r="I11">
        <f t="shared" si="2"/>
        <v>1</v>
      </c>
      <c r="J11" t="s">
        <v>17</v>
      </c>
      <c r="K11">
        <f t="shared" si="3"/>
        <v>1</v>
      </c>
    </row>
    <row r="12" spans="1:11">
      <c r="A12">
        <v>10</v>
      </c>
      <c r="B12" s="1" t="s">
        <v>8</v>
      </c>
      <c r="C12" t="s">
        <v>16</v>
      </c>
      <c r="D12" t="s">
        <v>16</v>
      </c>
      <c r="E12">
        <f t="shared" si="0"/>
        <v>1</v>
      </c>
      <c r="F12" t="s">
        <v>16</v>
      </c>
      <c r="G12">
        <f t="shared" si="1"/>
        <v>1</v>
      </c>
      <c r="H12" t="s">
        <v>16</v>
      </c>
      <c r="I12">
        <f t="shared" si="2"/>
        <v>1</v>
      </c>
      <c r="J12" t="s">
        <v>16</v>
      </c>
      <c r="K12">
        <f t="shared" si="3"/>
        <v>1</v>
      </c>
    </row>
    <row r="13" spans="1:11">
      <c r="A13">
        <v>11</v>
      </c>
      <c r="B13" s="1" t="s">
        <v>8</v>
      </c>
      <c r="C13" t="s">
        <v>15</v>
      </c>
      <c r="D13" t="s">
        <v>15</v>
      </c>
      <c r="E13">
        <f t="shared" si="0"/>
        <v>1</v>
      </c>
      <c r="F13" t="s">
        <v>15</v>
      </c>
      <c r="G13">
        <f t="shared" si="1"/>
        <v>1</v>
      </c>
      <c r="H13" t="s">
        <v>15</v>
      </c>
      <c r="I13">
        <f t="shared" si="2"/>
        <v>1</v>
      </c>
      <c r="J13" t="s">
        <v>15</v>
      </c>
      <c r="K13">
        <f t="shared" si="3"/>
        <v>1</v>
      </c>
    </row>
    <row r="14" spans="1:11">
      <c r="A14">
        <v>12</v>
      </c>
      <c r="B14" s="1" t="s">
        <v>8</v>
      </c>
      <c r="C14" t="s">
        <v>15</v>
      </c>
      <c r="D14" t="s">
        <v>15</v>
      </c>
      <c r="E14">
        <f t="shared" si="0"/>
        <v>1</v>
      </c>
      <c r="F14" t="s">
        <v>15</v>
      </c>
      <c r="G14">
        <f t="shared" si="1"/>
        <v>1</v>
      </c>
      <c r="H14" t="s">
        <v>15</v>
      </c>
      <c r="I14">
        <f t="shared" si="2"/>
        <v>1</v>
      </c>
      <c r="J14" t="s">
        <v>15</v>
      </c>
      <c r="K14">
        <f t="shared" si="3"/>
        <v>1</v>
      </c>
    </row>
    <row r="15" spans="1:11">
      <c r="A15">
        <v>13</v>
      </c>
      <c r="B15" s="1" t="s">
        <v>8</v>
      </c>
      <c r="C15" t="s">
        <v>17</v>
      </c>
      <c r="D15" t="s">
        <v>17</v>
      </c>
      <c r="E15">
        <f t="shared" si="0"/>
        <v>1</v>
      </c>
      <c r="F15" t="s">
        <v>17</v>
      </c>
      <c r="G15">
        <f t="shared" si="1"/>
        <v>1</v>
      </c>
      <c r="H15" t="s">
        <v>17</v>
      </c>
      <c r="I15">
        <f t="shared" si="2"/>
        <v>1</v>
      </c>
      <c r="J15" t="s">
        <v>17</v>
      </c>
      <c r="K15">
        <f t="shared" si="3"/>
        <v>1</v>
      </c>
    </row>
    <row r="16" spans="1:11">
      <c r="A16">
        <v>14</v>
      </c>
      <c r="B16" s="1" t="s">
        <v>8</v>
      </c>
      <c r="C16" t="s">
        <v>15</v>
      </c>
      <c r="D16" t="s">
        <v>15</v>
      </c>
      <c r="E16">
        <f t="shared" si="0"/>
        <v>1</v>
      </c>
      <c r="F16" t="s">
        <v>15</v>
      </c>
      <c r="G16">
        <f t="shared" si="1"/>
        <v>1</v>
      </c>
      <c r="H16" t="s">
        <v>15</v>
      </c>
      <c r="I16">
        <f t="shared" si="2"/>
        <v>1</v>
      </c>
      <c r="J16" t="s">
        <v>15</v>
      </c>
      <c r="K16">
        <f t="shared" si="3"/>
        <v>1</v>
      </c>
    </row>
    <row r="17" spans="1:11">
      <c r="A17">
        <v>15</v>
      </c>
      <c r="B17" s="1" t="s">
        <v>8</v>
      </c>
      <c r="C17" t="s">
        <v>15</v>
      </c>
      <c r="D17" t="s">
        <v>15</v>
      </c>
      <c r="E17">
        <f t="shared" si="0"/>
        <v>1</v>
      </c>
      <c r="F17" t="s">
        <v>15</v>
      </c>
      <c r="G17">
        <f t="shared" si="1"/>
        <v>1</v>
      </c>
      <c r="H17" t="s">
        <v>15</v>
      </c>
      <c r="I17">
        <f t="shared" si="2"/>
        <v>1</v>
      </c>
      <c r="J17" t="s">
        <v>15</v>
      </c>
      <c r="K17">
        <f t="shared" si="3"/>
        <v>1</v>
      </c>
    </row>
    <row r="18" spans="1:11">
      <c r="A18">
        <v>16</v>
      </c>
      <c r="B18" s="1" t="s">
        <v>8</v>
      </c>
      <c r="C18" t="s">
        <v>17</v>
      </c>
      <c r="D18" t="s">
        <v>17</v>
      </c>
      <c r="E18">
        <f t="shared" si="0"/>
        <v>1</v>
      </c>
      <c r="F18" t="s">
        <v>17</v>
      </c>
      <c r="G18">
        <f t="shared" si="1"/>
        <v>1</v>
      </c>
      <c r="H18" t="s">
        <v>17</v>
      </c>
      <c r="I18">
        <f t="shared" si="2"/>
        <v>1</v>
      </c>
      <c r="J18" t="s">
        <v>17</v>
      </c>
      <c r="K18">
        <f t="shared" si="3"/>
        <v>1</v>
      </c>
    </row>
    <row r="19" spans="1:11">
      <c r="A19">
        <v>17</v>
      </c>
      <c r="B19" s="1" t="s">
        <v>8</v>
      </c>
      <c r="C19" t="s">
        <v>17</v>
      </c>
      <c r="D19" t="s">
        <v>17</v>
      </c>
      <c r="E19">
        <f t="shared" si="0"/>
        <v>1</v>
      </c>
      <c r="F19" t="s">
        <v>17</v>
      </c>
      <c r="G19">
        <f t="shared" si="1"/>
        <v>1</v>
      </c>
      <c r="H19" t="s">
        <v>17</v>
      </c>
      <c r="I19">
        <f t="shared" si="2"/>
        <v>1</v>
      </c>
      <c r="J19" t="s">
        <v>17</v>
      </c>
      <c r="K19">
        <f t="shared" si="3"/>
        <v>1</v>
      </c>
    </row>
    <row r="20" spans="1:11">
      <c r="A20">
        <v>18</v>
      </c>
      <c r="B20" s="1" t="s">
        <v>8</v>
      </c>
      <c r="C20" t="s">
        <v>17</v>
      </c>
      <c r="D20" t="s">
        <v>17</v>
      </c>
      <c r="E20">
        <f t="shared" si="0"/>
        <v>1</v>
      </c>
      <c r="F20" t="s">
        <v>17</v>
      </c>
      <c r="G20">
        <f t="shared" si="1"/>
        <v>1</v>
      </c>
      <c r="H20" t="s">
        <v>17</v>
      </c>
      <c r="I20">
        <f t="shared" si="2"/>
        <v>1</v>
      </c>
      <c r="J20" t="s">
        <v>17</v>
      </c>
      <c r="K20">
        <f t="shared" si="3"/>
        <v>1</v>
      </c>
    </row>
    <row r="21" spans="1:11">
      <c r="A21">
        <v>19</v>
      </c>
      <c r="B21" s="1" t="s">
        <v>8</v>
      </c>
      <c r="C21" t="s">
        <v>16</v>
      </c>
      <c r="D21" t="s">
        <v>16</v>
      </c>
      <c r="E21">
        <f t="shared" si="0"/>
        <v>1</v>
      </c>
      <c r="F21" t="s">
        <v>16</v>
      </c>
      <c r="G21">
        <f t="shared" si="1"/>
        <v>1</v>
      </c>
      <c r="H21" t="s">
        <v>16</v>
      </c>
      <c r="I21">
        <f t="shared" si="2"/>
        <v>1</v>
      </c>
      <c r="J21" t="s">
        <v>16</v>
      </c>
      <c r="K21">
        <f t="shared" si="3"/>
        <v>1</v>
      </c>
    </row>
    <row r="22" spans="1:11">
      <c r="A22">
        <v>20</v>
      </c>
      <c r="B22" s="2" t="s">
        <v>3</v>
      </c>
      <c r="C22" t="s">
        <v>16</v>
      </c>
      <c r="D22" t="s">
        <v>16</v>
      </c>
      <c r="E22">
        <f t="shared" si="0"/>
        <v>1</v>
      </c>
      <c r="F22" t="s">
        <v>16</v>
      </c>
      <c r="G22">
        <f t="shared" si="1"/>
        <v>1</v>
      </c>
      <c r="H22" t="s">
        <v>16</v>
      </c>
      <c r="I22">
        <f t="shared" si="2"/>
        <v>1</v>
      </c>
      <c r="J22" t="s">
        <v>16</v>
      </c>
      <c r="K22">
        <f t="shared" si="3"/>
        <v>1</v>
      </c>
    </row>
    <row r="23" spans="1:11">
      <c r="A23">
        <v>21</v>
      </c>
      <c r="B23" t="s">
        <v>9</v>
      </c>
      <c r="C23" t="s">
        <v>16</v>
      </c>
      <c r="D23" t="s">
        <v>16</v>
      </c>
      <c r="E23">
        <f t="shared" si="0"/>
        <v>1</v>
      </c>
      <c r="F23" t="s">
        <v>16</v>
      </c>
      <c r="G23">
        <f t="shared" si="1"/>
        <v>1</v>
      </c>
      <c r="H23" t="s">
        <v>16</v>
      </c>
      <c r="I23">
        <f t="shared" si="2"/>
        <v>1</v>
      </c>
      <c r="J23" t="s">
        <v>16</v>
      </c>
      <c r="K23">
        <f t="shared" si="3"/>
        <v>1</v>
      </c>
    </row>
    <row r="24" spans="1:11">
      <c r="A24">
        <v>22</v>
      </c>
      <c r="B24" t="s">
        <v>9</v>
      </c>
      <c r="C24" t="s">
        <v>15</v>
      </c>
      <c r="D24" t="s">
        <v>15</v>
      </c>
      <c r="E24">
        <f t="shared" si="0"/>
        <v>1</v>
      </c>
      <c r="F24" t="s">
        <v>15</v>
      </c>
      <c r="G24">
        <f t="shared" si="1"/>
        <v>1</v>
      </c>
      <c r="H24" t="s">
        <v>15</v>
      </c>
      <c r="I24">
        <f t="shared" si="2"/>
        <v>1</v>
      </c>
      <c r="J24" t="s">
        <v>15</v>
      </c>
      <c r="K24">
        <f t="shared" si="3"/>
        <v>1</v>
      </c>
    </row>
    <row r="25" spans="1:11">
      <c r="A25">
        <v>23</v>
      </c>
      <c r="B25" t="s">
        <v>9</v>
      </c>
      <c r="C25" t="s">
        <v>15</v>
      </c>
      <c r="D25" t="s">
        <v>15</v>
      </c>
      <c r="E25">
        <f t="shared" si="0"/>
        <v>1</v>
      </c>
      <c r="F25" t="s">
        <v>15</v>
      </c>
      <c r="G25">
        <f t="shared" si="1"/>
        <v>1</v>
      </c>
      <c r="H25" t="s">
        <v>15</v>
      </c>
      <c r="I25">
        <f t="shared" si="2"/>
        <v>1</v>
      </c>
      <c r="J25" t="s">
        <v>15</v>
      </c>
      <c r="K25">
        <f t="shared" si="3"/>
        <v>1</v>
      </c>
    </row>
    <row r="26" spans="1:11">
      <c r="A26">
        <v>24</v>
      </c>
      <c r="B26" t="s">
        <v>9</v>
      </c>
      <c r="C26" t="s">
        <v>16</v>
      </c>
      <c r="D26" t="s">
        <v>16</v>
      </c>
      <c r="E26">
        <f t="shared" si="0"/>
        <v>1</v>
      </c>
      <c r="F26" t="s">
        <v>16</v>
      </c>
      <c r="G26">
        <f t="shared" si="1"/>
        <v>1</v>
      </c>
      <c r="H26" t="s">
        <v>16</v>
      </c>
      <c r="I26">
        <f t="shared" si="2"/>
        <v>1</v>
      </c>
      <c r="J26" t="s">
        <v>16</v>
      </c>
      <c r="K26">
        <f t="shared" si="3"/>
        <v>1</v>
      </c>
    </row>
    <row r="27" spans="1:11">
      <c r="A27">
        <v>25</v>
      </c>
      <c r="B27" t="s">
        <v>9</v>
      </c>
      <c r="C27" t="s">
        <v>16</v>
      </c>
      <c r="D27" t="s">
        <v>16</v>
      </c>
      <c r="E27">
        <f t="shared" si="0"/>
        <v>1</v>
      </c>
      <c r="F27" t="s">
        <v>16</v>
      </c>
      <c r="G27">
        <f t="shared" si="1"/>
        <v>1</v>
      </c>
      <c r="H27" t="s">
        <v>16</v>
      </c>
      <c r="I27">
        <f t="shared" si="2"/>
        <v>1</v>
      </c>
      <c r="J27" t="s">
        <v>16</v>
      </c>
      <c r="K27">
        <f t="shared" si="3"/>
        <v>1</v>
      </c>
    </row>
    <row r="28" spans="1:11">
      <c r="A28">
        <v>26</v>
      </c>
      <c r="B28" t="s">
        <v>9</v>
      </c>
      <c r="C28" t="s">
        <v>15</v>
      </c>
      <c r="D28" t="s">
        <v>15</v>
      </c>
      <c r="E28">
        <f t="shared" si="0"/>
        <v>1</v>
      </c>
      <c r="F28" t="s">
        <v>15</v>
      </c>
      <c r="G28">
        <f t="shared" si="1"/>
        <v>1</v>
      </c>
      <c r="H28" t="s">
        <v>15</v>
      </c>
      <c r="I28">
        <f t="shared" si="2"/>
        <v>1</v>
      </c>
      <c r="J28" t="s">
        <v>15</v>
      </c>
      <c r="K28">
        <f t="shared" si="3"/>
        <v>1</v>
      </c>
    </row>
    <row r="29" spans="1:11">
      <c r="A29">
        <v>27</v>
      </c>
      <c r="B29" t="s">
        <v>9</v>
      </c>
      <c r="C29" t="s">
        <v>15</v>
      </c>
      <c r="D29" t="s">
        <v>15</v>
      </c>
      <c r="E29">
        <f t="shared" si="0"/>
        <v>1</v>
      </c>
      <c r="F29" t="s">
        <v>15</v>
      </c>
      <c r="G29">
        <f t="shared" si="1"/>
        <v>1</v>
      </c>
      <c r="H29" t="s">
        <v>15</v>
      </c>
      <c r="I29">
        <f t="shared" si="2"/>
        <v>1</v>
      </c>
      <c r="J29" t="s">
        <v>15</v>
      </c>
      <c r="K29">
        <f t="shared" si="3"/>
        <v>1</v>
      </c>
    </row>
    <row r="30" spans="1:11">
      <c r="A30">
        <v>28</v>
      </c>
      <c r="B30" t="s">
        <v>9</v>
      </c>
      <c r="C30" t="s">
        <v>14</v>
      </c>
      <c r="D30" t="s">
        <v>14</v>
      </c>
      <c r="E30">
        <f t="shared" si="0"/>
        <v>1</v>
      </c>
      <c r="F30" t="s">
        <v>14</v>
      </c>
      <c r="G30">
        <f t="shared" si="1"/>
        <v>1</v>
      </c>
      <c r="H30" t="s">
        <v>14</v>
      </c>
      <c r="I30">
        <f t="shared" si="2"/>
        <v>1</v>
      </c>
      <c r="J30" t="s">
        <v>14</v>
      </c>
      <c r="K30">
        <f t="shared" si="3"/>
        <v>1</v>
      </c>
    </row>
    <row r="31" spans="1:11">
      <c r="A31">
        <v>29</v>
      </c>
      <c r="B31" t="s">
        <v>9</v>
      </c>
      <c r="C31" t="s">
        <v>17</v>
      </c>
      <c r="D31" t="s">
        <v>17</v>
      </c>
      <c r="E31">
        <f t="shared" si="0"/>
        <v>1</v>
      </c>
      <c r="F31" t="s">
        <v>17</v>
      </c>
      <c r="G31">
        <f t="shared" si="1"/>
        <v>1</v>
      </c>
      <c r="H31" t="s">
        <v>17</v>
      </c>
      <c r="I31">
        <f t="shared" si="2"/>
        <v>1</v>
      </c>
      <c r="J31" t="s">
        <v>17</v>
      </c>
      <c r="K31">
        <f t="shared" si="3"/>
        <v>1</v>
      </c>
    </row>
    <row r="32" spans="1:11">
      <c r="A32">
        <v>30</v>
      </c>
      <c r="B32" t="s">
        <v>9</v>
      </c>
      <c r="C32" t="s">
        <v>14</v>
      </c>
      <c r="D32" t="s">
        <v>14</v>
      </c>
      <c r="E32">
        <f t="shared" si="0"/>
        <v>1</v>
      </c>
      <c r="F32" t="s">
        <v>14</v>
      </c>
      <c r="G32">
        <f t="shared" si="1"/>
        <v>1</v>
      </c>
      <c r="H32" t="s">
        <v>14</v>
      </c>
      <c r="I32">
        <f t="shared" si="2"/>
        <v>1</v>
      </c>
      <c r="J32" t="s">
        <v>14</v>
      </c>
      <c r="K32">
        <f t="shared" si="3"/>
        <v>1</v>
      </c>
    </row>
    <row r="33" spans="1:11">
      <c r="A33">
        <v>31</v>
      </c>
      <c r="B33" t="s">
        <v>9</v>
      </c>
      <c r="C33" t="s">
        <v>16</v>
      </c>
      <c r="D33" t="s">
        <v>14</v>
      </c>
      <c r="E33">
        <f t="shared" si="0"/>
        <v>0</v>
      </c>
      <c r="F33" t="s">
        <v>14</v>
      </c>
      <c r="G33">
        <f t="shared" si="1"/>
        <v>0</v>
      </c>
      <c r="H33" t="s">
        <v>14</v>
      </c>
      <c r="I33">
        <f t="shared" si="2"/>
        <v>0</v>
      </c>
      <c r="J33" t="s">
        <v>14</v>
      </c>
      <c r="K33">
        <f t="shared" si="3"/>
        <v>0</v>
      </c>
    </row>
    <row r="34" spans="1:11">
      <c r="A34">
        <v>32</v>
      </c>
      <c r="B34" t="s">
        <v>9</v>
      </c>
      <c r="C34" t="s">
        <v>17</v>
      </c>
      <c r="D34" t="s">
        <v>17</v>
      </c>
      <c r="E34">
        <f t="shared" si="0"/>
        <v>1</v>
      </c>
      <c r="F34" t="s">
        <v>17</v>
      </c>
      <c r="G34">
        <f t="shared" si="1"/>
        <v>1</v>
      </c>
      <c r="H34" t="s">
        <v>17</v>
      </c>
      <c r="I34">
        <f t="shared" si="2"/>
        <v>1</v>
      </c>
      <c r="J34" t="s">
        <v>17</v>
      </c>
      <c r="K34">
        <f t="shared" si="3"/>
        <v>1</v>
      </c>
    </row>
    <row r="35" spans="1:11">
      <c r="A35">
        <v>33</v>
      </c>
      <c r="B35" t="s">
        <v>9</v>
      </c>
      <c r="C35" t="s">
        <v>17</v>
      </c>
      <c r="D35" t="s">
        <v>17</v>
      </c>
      <c r="E35">
        <f t="shared" si="0"/>
        <v>1</v>
      </c>
      <c r="F35" t="s">
        <v>17</v>
      </c>
      <c r="G35">
        <f t="shared" si="1"/>
        <v>1</v>
      </c>
      <c r="H35" t="s">
        <v>17</v>
      </c>
      <c r="I35">
        <f t="shared" si="2"/>
        <v>1</v>
      </c>
      <c r="J35" t="s">
        <v>17</v>
      </c>
      <c r="K35">
        <f t="shared" si="3"/>
        <v>1</v>
      </c>
    </row>
    <row r="36" spans="1:11">
      <c r="A36">
        <v>34</v>
      </c>
      <c r="B36" t="s">
        <v>9</v>
      </c>
      <c r="C36" t="s">
        <v>17</v>
      </c>
      <c r="D36" t="s">
        <v>17</v>
      </c>
      <c r="E36">
        <f t="shared" si="0"/>
        <v>1</v>
      </c>
      <c r="F36" t="s">
        <v>17</v>
      </c>
      <c r="G36">
        <f t="shared" si="1"/>
        <v>1</v>
      </c>
      <c r="H36" t="s">
        <v>17</v>
      </c>
      <c r="I36">
        <f t="shared" si="2"/>
        <v>1</v>
      </c>
      <c r="J36" t="s">
        <v>17</v>
      </c>
      <c r="K36">
        <f t="shared" si="3"/>
        <v>1</v>
      </c>
    </row>
    <row r="37" spans="1:11">
      <c r="A37">
        <v>35</v>
      </c>
      <c r="B37" t="s">
        <v>9</v>
      </c>
      <c r="C37" t="s">
        <v>15</v>
      </c>
      <c r="D37" t="s">
        <v>15</v>
      </c>
      <c r="E37">
        <f t="shared" si="0"/>
        <v>1</v>
      </c>
      <c r="F37" t="s">
        <v>15</v>
      </c>
      <c r="G37">
        <f t="shared" si="1"/>
        <v>1</v>
      </c>
      <c r="H37" t="s">
        <v>15</v>
      </c>
      <c r="I37">
        <f t="shared" si="2"/>
        <v>1</v>
      </c>
      <c r="J37" t="s">
        <v>15</v>
      </c>
      <c r="K37">
        <f t="shared" si="3"/>
        <v>1</v>
      </c>
    </row>
    <row r="38" spans="1:11">
      <c r="A38">
        <v>36</v>
      </c>
      <c r="B38" t="s">
        <v>9</v>
      </c>
      <c r="C38" t="s">
        <v>15</v>
      </c>
      <c r="D38" t="s">
        <v>15</v>
      </c>
      <c r="E38">
        <f t="shared" si="0"/>
        <v>1</v>
      </c>
      <c r="F38" t="s">
        <v>15</v>
      </c>
      <c r="G38">
        <f t="shared" si="1"/>
        <v>1</v>
      </c>
      <c r="H38" t="s">
        <v>15</v>
      </c>
      <c r="I38">
        <f t="shared" si="2"/>
        <v>1</v>
      </c>
      <c r="J38" t="s">
        <v>15</v>
      </c>
      <c r="K38">
        <f t="shared" si="3"/>
        <v>1</v>
      </c>
    </row>
    <row r="39" spans="1:11">
      <c r="A39">
        <v>37</v>
      </c>
      <c r="B39" t="s">
        <v>9</v>
      </c>
      <c r="C39" t="s">
        <v>15</v>
      </c>
      <c r="D39" t="s">
        <v>15</v>
      </c>
      <c r="E39">
        <f t="shared" si="0"/>
        <v>1</v>
      </c>
      <c r="F39" t="s">
        <v>15</v>
      </c>
      <c r="G39">
        <f t="shared" si="1"/>
        <v>1</v>
      </c>
      <c r="H39" t="s">
        <v>15</v>
      </c>
      <c r="I39">
        <f t="shared" si="2"/>
        <v>1</v>
      </c>
      <c r="J39" t="s">
        <v>15</v>
      </c>
      <c r="K39">
        <f t="shared" si="3"/>
        <v>1</v>
      </c>
    </row>
    <row r="40" spans="1:11">
      <c r="A40">
        <v>38</v>
      </c>
      <c r="B40" t="s">
        <v>9</v>
      </c>
      <c r="C40" t="s">
        <v>16</v>
      </c>
      <c r="D40" t="s">
        <v>16</v>
      </c>
      <c r="E40">
        <f t="shared" si="0"/>
        <v>1</v>
      </c>
      <c r="F40" t="s">
        <v>16</v>
      </c>
      <c r="G40">
        <f t="shared" si="1"/>
        <v>1</v>
      </c>
      <c r="H40" t="s">
        <v>16</v>
      </c>
      <c r="I40">
        <f t="shared" si="2"/>
        <v>1</v>
      </c>
      <c r="J40" t="s">
        <v>16</v>
      </c>
      <c r="K40">
        <f t="shared" si="3"/>
        <v>1</v>
      </c>
    </row>
    <row r="41" spans="1:11">
      <c r="A41">
        <v>39</v>
      </c>
      <c r="B41" t="s">
        <v>9</v>
      </c>
      <c r="C41" t="s">
        <v>15</v>
      </c>
      <c r="D41" t="s">
        <v>15</v>
      </c>
      <c r="E41">
        <f t="shared" si="0"/>
        <v>1</v>
      </c>
      <c r="F41" t="s">
        <v>15</v>
      </c>
      <c r="G41">
        <f t="shared" si="1"/>
        <v>1</v>
      </c>
      <c r="H41" t="s">
        <v>15</v>
      </c>
      <c r="I41">
        <f t="shared" si="2"/>
        <v>1</v>
      </c>
      <c r="J41" t="s">
        <v>15</v>
      </c>
      <c r="K41">
        <f t="shared" si="3"/>
        <v>1</v>
      </c>
    </row>
    <row r="42" spans="1:11">
      <c r="A42">
        <v>40</v>
      </c>
      <c r="B42" t="s">
        <v>9</v>
      </c>
      <c r="C42" t="s">
        <v>16</v>
      </c>
      <c r="D42" t="s">
        <v>16</v>
      </c>
      <c r="E42">
        <f t="shared" si="0"/>
        <v>1</v>
      </c>
      <c r="F42" t="s">
        <v>16</v>
      </c>
      <c r="G42">
        <f t="shared" si="1"/>
        <v>1</v>
      </c>
      <c r="H42" t="s">
        <v>16</v>
      </c>
      <c r="I42">
        <f t="shared" si="2"/>
        <v>1</v>
      </c>
      <c r="J42" t="s">
        <v>16</v>
      </c>
      <c r="K42">
        <f t="shared" si="3"/>
        <v>1</v>
      </c>
    </row>
    <row r="43" spans="1:11">
      <c r="A43">
        <v>41</v>
      </c>
      <c r="B43" t="s">
        <v>11</v>
      </c>
      <c r="C43" t="s">
        <v>15</v>
      </c>
      <c r="D43" t="s">
        <v>15</v>
      </c>
      <c r="E43">
        <f t="shared" si="0"/>
        <v>1</v>
      </c>
      <c r="F43" t="s">
        <v>15</v>
      </c>
      <c r="G43">
        <f t="shared" si="1"/>
        <v>1</v>
      </c>
      <c r="H43" t="s">
        <v>15</v>
      </c>
      <c r="I43">
        <f t="shared" si="2"/>
        <v>1</v>
      </c>
      <c r="J43" t="s">
        <v>15</v>
      </c>
      <c r="K43">
        <f t="shared" si="3"/>
        <v>1</v>
      </c>
    </row>
    <row r="44" spans="1:11">
      <c r="A44">
        <v>42</v>
      </c>
      <c r="B44" s="1" t="s">
        <v>11</v>
      </c>
      <c r="C44" t="s">
        <v>17</v>
      </c>
      <c r="D44" t="s">
        <v>17</v>
      </c>
      <c r="E44">
        <f t="shared" si="0"/>
        <v>1</v>
      </c>
      <c r="F44" t="s">
        <v>17</v>
      </c>
      <c r="G44">
        <f t="shared" si="1"/>
        <v>1</v>
      </c>
      <c r="H44" t="s">
        <v>17</v>
      </c>
      <c r="I44">
        <f t="shared" si="2"/>
        <v>1</v>
      </c>
      <c r="J44" t="s">
        <v>17</v>
      </c>
      <c r="K44">
        <f t="shared" si="3"/>
        <v>1</v>
      </c>
    </row>
    <row r="45" spans="1:11">
      <c r="A45">
        <v>43</v>
      </c>
      <c r="B45" s="1" t="s">
        <v>10</v>
      </c>
      <c r="C45" t="s">
        <v>14</v>
      </c>
      <c r="D45" t="s">
        <v>14</v>
      </c>
      <c r="E45">
        <f t="shared" si="0"/>
        <v>1</v>
      </c>
      <c r="F45" t="s">
        <v>14</v>
      </c>
      <c r="G45">
        <f t="shared" si="1"/>
        <v>1</v>
      </c>
      <c r="H45" t="s">
        <v>14</v>
      </c>
      <c r="I45">
        <f t="shared" si="2"/>
        <v>1</v>
      </c>
      <c r="J45" t="s">
        <v>14</v>
      </c>
      <c r="K45">
        <f t="shared" si="3"/>
        <v>1</v>
      </c>
    </row>
    <row r="46" spans="1:11">
      <c r="A46">
        <v>44</v>
      </c>
      <c r="B46" s="1" t="s">
        <v>10</v>
      </c>
      <c r="C46" t="s">
        <v>17</v>
      </c>
      <c r="D46" t="s">
        <v>17</v>
      </c>
      <c r="E46">
        <f t="shared" si="0"/>
        <v>1</v>
      </c>
      <c r="F46" t="s">
        <v>17</v>
      </c>
      <c r="G46">
        <f t="shared" si="1"/>
        <v>1</v>
      </c>
      <c r="H46" t="s">
        <v>17</v>
      </c>
      <c r="I46">
        <f t="shared" si="2"/>
        <v>1</v>
      </c>
      <c r="J46" t="s">
        <v>17</v>
      </c>
      <c r="K46">
        <f t="shared" si="3"/>
        <v>1</v>
      </c>
    </row>
    <row r="47" spans="1:11">
      <c r="A47">
        <v>45</v>
      </c>
      <c r="B47" s="1" t="s">
        <v>10</v>
      </c>
      <c r="C47" t="s">
        <v>15</v>
      </c>
      <c r="D47" t="s">
        <v>15</v>
      </c>
      <c r="E47">
        <f t="shared" si="0"/>
        <v>1</v>
      </c>
      <c r="F47" t="s">
        <v>15</v>
      </c>
      <c r="G47">
        <f t="shared" si="1"/>
        <v>1</v>
      </c>
      <c r="H47" t="s">
        <v>15</v>
      </c>
      <c r="I47">
        <f t="shared" si="2"/>
        <v>1</v>
      </c>
      <c r="J47" t="s">
        <v>15</v>
      </c>
      <c r="K47">
        <f t="shared" si="3"/>
        <v>1</v>
      </c>
    </row>
    <row r="48" spans="1:11">
      <c r="A48">
        <v>46</v>
      </c>
      <c r="B48" s="1" t="s">
        <v>10</v>
      </c>
      <c r="C48" t="s">
        <v>14</v>
      </c>
      <c r="D48" t="s">
        <v>14</v>
      </c>
      <c r="E48">
        <f t="shared" si="0"/>
        <v>1</v>
      </c>
      <c r="F48" t="s">
        <v>14</v>
      </c>
      <c r="G48">
        <f t="shared" si="1"/>
        <v>1</v>
      </c>
      <c r="H48" t="s">
        <v>14</v>
      </c>
      <c r="I48">
        <f t="shared" si="2"/>
        <v>1</v>
      </c>
      <c r="J48" t="s">
        <v>14</v>
      </c>
      <c r="K48">
        <f t="shared" si="3"/>
        <v>1</v>
      </c>
    </row>
    <row r="49" spans="1:11">
      <c r="A49">
        <v>47</v>
      </c>
      <c r="B49" s="1" t="s">
        <v>10</v>
      </c>
      <c r="C49" t="s">
        <v>15</v>
      </c>
      <c r="D49" t="s">
        <v>15</v>
      </c>
      <c r="E49">
        <f t="shared" si="0"/>
        <v>1</v>
      </c>
      <c r="F49" t="s">
        <v>15</v>
      </c>
      <c r="G49">
        <f t="shared" si="1"/>
        <v>1</v>
      </c>
      <c r="H49" t="s">
        <v>15</v>
      </c>
      <c r="I49">
        <f t="shared" si="2"/>
        <v>1</v>
      </c>
      <c r="J49" t="s">
        <v>15</v>
      </c>
      <c r="K49">
        <f t="shared" si="3"/>
        <v>1</v>
      </c>
    </row>
    <row r="50" spans="1:11">
      <c r="A50">
        <v>48</v>
      </c>
      <c r="B50" s="1" t="s">
        <v>10</v>
      </c>
      <c r="C50" t="s">
        <v>16</v>
      </c>
      <c r="D50" t="s">
        <v>16</v>
      </c>
      <c r="E50">
        <f t="shared" si="0"/>
        <v>1</v>
      </c>
      <c r="F50" t="s">
        <v>16</v>
      </c>
      <c r="G50">
        <f t="shared" si="1"/>
        <v>1</v>
      </c>
      <c r="H50" t="s">
        <v>16</v>
      </c>
      <c r="I50">
        <f t="shared" si="2"/>
        <v>1</v>
      </c>
      <c r="J50" t="s">
        <v>16</v>
      </c>
      <c r="K50">
        <f t="shared" si="3"/>
        <v>1</v>
      </c>
    </row>
    <row r="51" spans="1:11">
      <c r="A51">
        <v>49</v>
      </c>
      <c r="B51" s="1" t="s">
        <v>10</v>
      </c>
      <c r="C51" t="s">
        <v>14</v>
      </c>
      <c r="D51" t="s">
        <v>14</v>
      </c>
      <c r="E51">
        <f t="shared" si="0"/>
        <v>1</v>
      </c>
      <c r="F51" t="s">
        <v>14</v>
      </c>
      <c r="G51">
        <f t="shared" si="1"/>
        <v>1</v>
      </c>
      <c r="H51" t="s">
        <v>14</v>
      </c>
      <c r="I51">
        <f t="shared" si="2"/>
        <v>1</v>
      </c>
      <c r="J51" t="s">
        <v>14</v>
      </c>
      <c r="K51">
        <f t="shared" si="3"/>
        <v>1</v>
      </c>
    </row>
    <row r="52" spans="1:11">
      <c r="A52">
        <v>50</v>
      </c>
      <c r="B52" s="1" t="s">
        <v>10</v>
      </c>
      <c r="C52" t="s">
        <v>16</v>
      </c>
      <c r="D52" t="s">
        <v>16</v>
      </c>
      <c r="E52">
        <f t="shared" si="0"/>
        <v>1</v>
      </c>
      <c r="F52" t="s">
        <v>16</v>
      </c>
      <c r="G52">
        <f t="shared" si="1"/>
        <v>1</v>
      </c>
      <c r="H52" t="s">
        <v>16</v>
      </c>
      <c r="I52">
        <f t="shared" si="2"/>
        <v>1</v>
      </c>
      <c r="J52" t="s">
        <v>16</v>
      </c>
      <c r="K52">
        <f t="shared" si="3"/>
        <v>1</v>
      </c>
    </row>
    <row r="53" spans="1:11">
      <c r="A53">
        <v>51</v>
      </c>
      <c r="B53" s="1" t="s">
        <v>10</v>
      </c>
      <c r="C53" t="s">
        <v>17</v>
      </c>
      <c r="D53" t="s">
        <v>17</v>
      </c>
      <c r="E53">
        <f t="shared" si="0"/>
        <v>1</v>
      </c>
      <c r="F53" t="s">
        <v>17</v>
      </c>
      <c r="G53">
        <f t="shared" si="1"/>
        <v>1</v>
      </c>
      <c r="H53" t="s">
        <v>16</v>
      </c>
      <c r="I53">
        <f t="shared" si="2"/>
        <v>0</v>
      </c>
      <c r="J53" t="s">
        <v>17</v>
      </c>
      <c r="K53">
        <f t="shared" si="3"/>
        <v>1</v>
      </c>
    </row>
    <row r="54" spans="1:11">
      <c r="A54">
        <v>52</v>
      </c>
      <c r="B54" s="1" t="s">
        <v>10</v>
      </c>
      <c r="C54" t="s">
        <v>16</v>
      </c>
      <c r="D54" t="s">
        <v>16</v>
      </c>
      <c r="E54">
        <f t="shared" si="0"/>
        <v>1</v>
      </c>
      <c r="F54" t="s">
        <v>16</v>
      </c>
      <c r="G54">
        <f t="shared" si="1"/>
        <v>1</v>
      </c>
      <c r="H54" t="s">
        <v>16</v>
      </c>
      <c r="I54">
        <f t="shared" si="2"/>
        <v>1</v>
      </c>
      <c r="J54" t="s">
        <v>16</v>
      </c>
      <c r="K54">
        <f t="shared" si="3"/>
        <v>1</v>
      </c>
    </row>
    <row r="55" spans="1:11">
      <c r="A55">
        <v>53</v>
      </c>
      <c r="B55" s="1" t="s">
        <v>10</v>
      </c>
      <c r="C55" t="s">
        <v>16</v>
      </c>
      <c r="D55" t="s">
        <v>16</v>
      </c>
      <c r="E55">
        <f t="shared" si="0"/>
        <v>1</v>
      </c>
      <c r="F55" t="s">
        <v>16</v>
      </c>
      <c r="G55">
        <f t="shared" si="1"/>
        <v>1</v>
      </c>
      <c r="H55" t="s">
        <v>16</v>
      </c>
      <c r="I55">
        <f t="shared" si="2"/>
        <v>1</v>
      </c>
      <c r="J55" t="s">
        <v>16</v>
      </c>
      <c r="K55">
        <f t="shared" si="3"/>
        <v>1</v>
      </c>
    </row>
    <row r="56" spans="1:11">
      <c r="A56">
        <v>54</v>
      </c>
      <c r="B56" s="1" t="s">
        <v>10</v>
      </c>
      <c r="C56" t="s">
        <v>15</v>
      </c>
      <c r="D56" t="s">
        <v>15</v>
      </c>
      <c r="E56">
        <f t="shared" si="0"/>
        <v>1</v>
      </c>
      <c r="F56" t="s">
        <v>15</v>
      </c>
      <c r="G56">
        <f t="shared" si="1"/>
        <v>1</v>
      </c>
      <c r="H56" t="s">
        <v>15</v>
      </c>
      <c r="I56">
        <f t="shared" si="2"/>
        <v>1</v>
      </c>
      <c r="J56" t="s">
        <v>15</v>
      </c>
      <c r="K56">
        <f t="shared" si="3"/>
        <v>1</v>
      </c>
    </row>
    <row r="57" spans="1:11">
      <c r="A57">
        <v>55</v>
      </c>
      <c r="B57" s="1" t="s">
        <v>10</v>
      </c>
      <c r="C57" t="s">
        <v>15</v>
      </c>
      <c r="D57" t="s">
        <v>15</v>
      </c>
      <c r="E57">
        <f t="shared" si="0"/>
        <v>1</v>
      </c>
      <c r="F57" t="s">
        <v>15</v>
      </c>
      <c r="G57">
        <f t="shared" si="1"/>
        <v>1</v>
      </c>
      <c r="H57" t="s">
        <v>15</v>
      </c>
      <c r="I57">
        <f t="shared" si="2"/>
        <v>1</v>
      </c>
      <c r="J57" t="s">
        <v>15</v>
      </c>
      <c r="K57">
        <f t="shared" si="3"/>
        <v>1</v>
      </c>
    </row>
    <row r="58" spans="1:11">
      <c r="A58">
        <v>56</v>
      </c>
      <c r="B58" s="1" t="s">
        <v>10</v>
      </c>
      <c r="C58" t="s">
        <v>16</v>
      </c>
      <c r="D58" t="s">
        <v>16</v>
      </c>
      <c r="E58">
        <f t="shared" si="0"/>
        <v>1</v>
      </c>
      <c r="F58" t="s">
        <v>16</v>
      </c>
      <c r="G58">
        <f t="shared" si="1"/>
        <v>1</v>
      </c>
      <c r="H58" t="s">
        <v>16</v>
      </c>
      <c r="I58">
        <f t="shared" si="2"/>
        <v>1</v>
      </c>
      <c r="J58" t="s">
        <v>16</v>
      </c>
      <c r="K58">
        <f t="shared" si="3"/>
        <v>1</v>
      </c>
    </row>
    <row r="59" spans="1:11">
      <c r="A59">
        <v>57</v>
      </c>
      <c r="B59" s="1" t="s">
        <v>10</v>
      </c>
      <c r="C59" t="s">
        <v>15</v>
      </c>
      <c r="D59" t="s">
        <v>15</v>
      </c>
      <c r="E59">
        <f t="shared" si="0"/>
        <v>1</v>
      </c>
      <c r="F59" t="s">
        <v>15</v>
      </c>
      <c r="G59">
        <f t="shared" si="1"/>
        <v>1</v>
      </c>
      <c r="H59" t="s">
        <v>15</v>
      </c>
      <c r="I59">
        <f t="shared" si="2"/>
        <v>1</v>
      </c>
      <c r="J59" t="s">
        <v>15</v>
      </c>
      <c r="K59">
        <f t="shared" si="3"/>
        <v>1</v>
      </c>
    </row>
    <row r="60" spans="1:11">
      <c r="A60">
        <v>58</v>
      </c>
      <c r="B60" s="1" t="s">
        <v>10</v>
      </c>
      <c r="C60" t="s">
        <v>14</v>
      </c>
      <c r="D60" t="s">
        <v>14</v>
      </c>
      <c r="E60">
        <f t="shared" si="0"/>
        <v>1</v>
      </c>
      <c r="F60" t="s">
        <v>14</v>
      </c>
      <c r="G60">
        <f t="shared" si="1"/>
        <v>1</v>
      </c>
      <c r="H60" t="s">
        <v>14</v>
      </c>
      <c r="I60">
        <f t="shared" si="2"/>
        <v>1</v>
      </c>
      <c r="J60" t="s">
        <v>14</v>
      </c>
      <c r="K60">
        <f t="shared" si="3"/>
        <v>1</v>
      </c>
    </row>
    <row r="61" spans="1:11">
      <c r="A61">
        <v>59</v>
      </c>
      <c r="B61" s="1" t="s">
        <v>10</v>
      </c>
      <c r="C61" t="s">
        <v>17</v>
      </c>
      <c r="D61" t="s">
        <v>17</v>
      </c>
      <c r="E61">
        <f t="shared" si="0"/>
        <v>1</v>
      </c>
      <c r="F61" t="s">
        <v>17</v>
      </c>
      <c r="G61">
        <f t="shared" si="1"/>
        <v>1</v>
      </c>
      <c r="H61" t="s">
        <v>17</v>
      </c>
      <c r="I61">
        <f t="shared" si="2"/>
        <v>1</v>
      </c>
      <c r="J61" t="s">
        <v>17</v>
      </c>
      <c r="K61">
        <f t="shared" si="3"/>
        <v>1</v>
      </c>
    </row>
    <row r="62" spans="1:11">
      <c r="A62">
        <v>60</v>
      </c>
      <c r="B62" s="1" t="s">
        <v>10</v>
      </c>
      <c r="C62" t="s">
        <v>15</v>
      </c>
      <c r="D62" t="s">
        <v>15</v>
      </c>
      <c r="E62">
        <f t="shared" si="0"/>
        <v>1</v>
      </c>
      <c r="F62" t="s">
        <v>15</v>
      </c>
      <c r="G62">
        <f t="shared" si="1"/>
        <v>1</v>
      </c>
      <c r="H62" t="s">
        <v>15</v>
      </c>
      <c r="I62">
        <f t="shared" si="2"/>
        <v>1</v>
      </c>
      <c r="J62" t="s">
        <v>17</v>
      </c>
      <c r="K62">
        <f t="shared" si="3"/>
        <v>0</v>
      </c>
    </row>
    <row r="63" spans="1:11">
      <c r="A63">
        <v>61</v>
      </c>
      <c r="B63" s="1" t="s">
        <v>12</v>
      </c>
      <c r="C63" t="s">
        <v>15</v>
      </c>
      <c r="D63" t="s">
        <v>15</v>
      </c>
      <c r="E63">
        <f t="shared" si="0"/>
        <v>1</v>
      </c>
      <c r="F63" t="s">
        <v>15</v>
      </c>
      <c r="G63">
        <f t="shared" si="1"/>
        <v>1</v>
      </c>
      <c r="H63" t="s">
        <v>15</v>
      </c>
      <c r="I63">
        <f t="shared" si="2"/>
        <v>1</v>
      </c>
      <c r="J63" t="s">
        <v>15</v>
      </c>
      <c r="K63">
        <f t="shared" si="3"/>
        <v>1</v>
      </c>
    </row>
    <row r="64" spans="1:11">
      <c r="A64">
        <v>62</v>
      </c>
      <c r="B64" s="1" t="s">
        <v>12</v>
      </c>
      <c r="C64" t="s">
        <v>16</v>
      </c>
      <c r="D64" t="s">
        <v>16</v>
      </c>
      <c r="E64">
        <f t="shared" si="0"/>
        <v>1</v>
      </c>
      <c r="F64" t="s">
        <v>16</v>
      </c>
      <c r="G64">
        <f t="shared" si="1"/>
        <v>1</v>
      </c>
      <c r="H64" t="s">
        <v>16</v>
      </c>
      <c r="I64">
        <f t="shared" si="2"/>
        <v>1</v>
      </c>
      <c r="J64" t="s">
        <v>16</v>
      </c>
      <c r="K64">
        <f t="shared" si="3"/>
        <v>1</v>
      </c>
    </row>
    <row r="65" spans="1:11">
      <c r="A65">
        <v>63</v>
      </c>
      <c r="B65" s="1" t="s">
        <v>12</v>
      </c>
      <c r="C65" t="s">
        <v>14</v>
      </c>
      <c r="D65" t="s">
        <v>14</v>
      </c>
      <c r="E65">
        <f t="shared" si="0"/>
        <v>1</v>
      </c>
      <c r="F65" t="s">
        <v>14</v>
      </c>
      <c r="G65">
        <f t="shared" si="1"/>
        <v>1</v>
      </c>
      <c r="H65" t="s">
        <v>14</v>
      </c>
      <c r="I65">
        <f t="shared" si="2"/>
        <v>1</v>
      </c>
      <c r="J65" t="s">
        <v>14</v>
      </c>
      <c r="K65">
        <f t="shared" si="3"/>
        <v>1</v>
      </c>
    </row>
    <row r="66" spans="1:11">
      <c r="A66">
        <v>64</v>
      </c>
      <c r="B66" s="1" t="s">
        <v>12</v>
      </c>
      <c r="C66" t="s">
        <v>17</v>
      </c>
      <c r="D66" t="s">
        <v>17</v>
      </c>
      <c r="E66">
        <f t="shared" si="0"/>
        <v>1</v>
      </c>
      <c r="F66" t="s">
        <v>17</v>
      </c>
      <c r="G66">
        <f t="shared" si="1"/>
        <v>1</v>
      </c>
      <c r="H66" t="s">
        <v>17</v>
      </c>
      <c r="I66">
        <f t="shared" si="2"/>
        <v>1</v>
      </c>
      <c r="J66" t="s">
        <v>17</v>
      </c>
      <c r="K66">
        <f t="shared" si="3"/>
        <v>1</v>
      </c>
    </row>
    <row r="67" spans="1:11">
      <c r="A67">
        <v>65</v>
      </c>
      <c r="B67" s="1" t="s">
        <v>12</v>
      </c>
      <c r="C67" t="s">
        <v>15</v>
      </c>
      <c r="D67" t="s">
        <v>15</v>
      </c>
      <c r="E67">
        <f t="shared" si="0"/>
        <v>1</v>
      </c>
      <c r="F67" t="s">
        <v>15</v>
      </c>
      <c r="G67">
        <f t="shared" si="1"/>
        <v>1</v>
      </c>
      <c r="H67" t="s">
        <v>15</v>
      </c>
      <c r="I67">
        <f t="shared" si="2"/>
        <v>1</v>
      </c>
      <c r="J67" t="s">
        <v>15</v>
      </c>
      <c r="K67">
        <f t="shared" si="3"/>
        <v>1</v>
      </c>
    </row>
    <row r="68" spans="1:11">
      <c r="A68">
        <v>66</v>
      </c>
      <c r="B68" s="1" t="s">
        <v>12</v>
      </c>
      <c r="C68" t="s">
        <v>16</v>
      </c>
      <c r="D68" t="s">
        <v>16</v>
      </c>
      <c r="E68">
        <f t="shared" ref="E68:E102" si="4">IF(D68="", "", IF(D68=C68, 1, 0))</f>
        <v>1</v>
      </c>
      <c r="F68" t="s">
        <v>16</v>
      </c>
      <c r="G68">
        <f t="shared" ref="G68:G102" si="5">IF(F68="", "", IF(F68=C68, 1, 0))</f>
        <v>1</v>
      </c>
      <c r="H68" t="s">
        <v>16</v>
      </c>
      <c r="I68">
        <f t="shared" ref="I68:I103" si="6">IF(H68="", "", IF(H68=C68, 1, 0))</f>
        <v>1</v>
      </c>
      <c r="J68" t="s">
        <v>16</v>
      </c>
      <c r="K68">
        <f t="shared" ref="K68:K103" si="7">IF(J68="", "", IF(J68=C68, 1, 0))</f>
        <v>1</v>
      </c>
    </row>
    <row r="69" spans="1:11">
      <c r="A69">
        <v>67</v>
      </c>
      <c r="B69" s="1" t="s">
        <v>12</v>
      </c>
      <c r="C69" t="s">
        <v>17</v>
      </c>
      <c r="D69" t="s">
        <v>17</v>
      </c>
      <c r="E69">
        <f t="shared" si="4"/>
        <v>1</v>
      </c>
      <c r="F69" t="s">
        <v>17</v>
      </c>
      <c r="G69">
        <f t="shared" si="5"/>
        <v>1</v>
      </c>
      <c r="H69" t="s">
        <v>17</v>
      </c>
      <c r="I69">
        <f t="shared" si="6"/>
        <v>1</v>
      </c>
      <c r="J69" t="s">
        <v>17</v>
      </c>
      <c r="K69">
        <f t="shared" si="7"/>
        <v>1</v>
      </c>
    </row>
    <row r="70" spans="1:11">
      <c r="A70">
        <v>68</v>
      </c>
      <c r="B70" s="1" t="s">
        <v>12</v>
      </c>
      <c r="C70" t="s">
        <v>17</v>
      </c>
      <c r="D70" t="s">
        <v>17</v>
      </c>
      <c r="E70">
        <f t="shared" si="4"/>
        <v>1</v>
      </c>
      <c r="F70" t="s">
        <v>17</v>
      </c>
      <c r="G70">
        <f t="shared" si="5"/>
        <v>1</v>
      </c>
      <c r="H70" t="s">
        <v>17</v>
      </c>
      <c r="I70">
        <f t="shared" si="6"/>
        <v>1</v>
      </c>
      <c r="J70" t="s">
        <v>17</v>
      </c>
      <c r="K70">
        <f t="shared" si="7"/>
        <v>1</v>
      </c>
    </row>
    <row r="71" spans="1:11">
      <c r="A71">
        <v>69</v>
      </c>
      <c r="B71" s="1" t="s">
        <v>12</v>
      </c>
      <c r="C71" t="s">
        <v>16</v>
      </c>
      <c r="D71" t="s">
        <v>16</v>
      </c>
      <c r="E71">
        <f t="shared" si="4"/>
        <v>1</v>
      </c>
      <c r="F71" t="s">
        <v>16</v>
      </c>
      <c r="G71">
        <f t="shared" si="5"/>
        <v>1</v>
      </c>
      <c r="H71" t="s">
        <v>16</v>
      </c>
      <c r="I71">
        <f t="shared" si="6"/>
        <v>1</v>
      </c>
      <c r="J71" t="s">
        <v>16</v>
      </c>
      <c r="K71">
        <f t="shared" si="7"/>
        <v>1</v>
      </c>
    </row>
    <row r="72" spans="1:11">
      <c r="A72">
        <v>70</v>
      </c>
      <c r="B72" s="1" t="s">
        <v>12</v>
      </c>
      <c r="C72" t="s">
        <v>14</v>
      </c>
      <c r="D72" t="s">
        <v>14</v>
      </c>
      <c r="E72">
        <f t="shared" si="4"/>
        <v>1</v>
      </c>
      <c r="F72" t="s">
        <v>14</v>
      </c>
      <c r="G72">
        <f t="shared" si="5"/>
        <v>1</v>
      </c>
      <c r="H72" t="s">
        <v>14</v>
      </c>
      <c r="I72">
        <f t="shared" si="6"/>
        <v>1</v>
      </c>
      <c r="J72" t="s">
        <v>14</v>
      </c>
      <c r="K72">
        <f t="shared" si="7"/>
        <v>1</v>
      </c>
    </row>
    <row r="73" spans="1:11">
      <c r="A73">
        <v>71</v>
      </c>
      <c r="B73" s="1" t="s">
        <v>12</v>
      </c>
      <c r="C73" t="s">
        <v>16</v>
      </c>
      <c r="D73" t="s">
        <v>16</v>
      </c>
      <c r="E73">
        <f t="shared" si="4"/>
        <v>1</v>
      </c>
      <c r="F73" t="s">
        <v>16</v>
      </c>
      <c r="G73">
        <f t="shared" si="5"/>
        <v>1</v>
      </c>
      <c r="H73" t="s">
        <v>16</v>
      </c>
      <c r="I73">
        <f t="shared" si="6"/>
        <v>1</v>
      </c>
      <c r="J73" t="s">
        <v>16</v>
      </c>
      <c r="K73">
        <f t="shared" si="7"/>
        <v>1</v>
      </c>
    </row>
    <row r="74" spans="1:11">
      <c r="A74">
        <v>72</v>
      </c>
      <c r="B74" s="1" t="s">
        <v>12</v>
      </c>
      <c r="C74" t="s">
        <v>17</v>
      </c>
      <c r="D74" t="s">
        <v>17</v>
      </c>
      <c r="E74">
        <f t="shared" si="4"/>
        <v>1</v>
      </c>
      <c r="F74" t="s">
        <v>17</v>
      </c>
      <c r="G74">
        <f t="shared" si="5"/>
        <v>1</v>
      </c>
      <c r="H74" t="s">
        <v>16</v>
      </c>
      <c r="I74">
        <f t="shared" si="6"/>
        <v>0</v>
      </c>
      <c r="J74" t="s">
        <v>17</v>
      </c>
      <c r="K74">
        <f t="shared" si="7"/>
        <v>1</v>
      </c>
    </row>
    <row r="75" spans="1:11">
      <c r="A75">
        <v>73</v>
      </c>
      <c r="B75" s="1" t="s">
        <v>12</v>
      </c>
      <c r="C75" t="s">
        <v>15</v>
      </c>
      <c r="D75" t="s">
        <v>15</v>
      </c>
      <c r="E75">
        <f t="shared" si="4"/>
        <v>1</v>
      </c>
      <c r="F75" t="s">
        <v>15</v>
      </c>
      <c r="G75">
        <f t="shared" si="5"/>
        <v>1</v>
      </c>
      <c r="H75" t="s">
        <v>15</v>
      </c>
      <c r="I75">
        <f t="shared" si="6"/>
        <v>1</v>
      </c>
      <c r="J75" t="s">
        <v>15</v>
      </c>
      <c r="K75">
        <f t="shared" si="7"/>
        <v>1</v>
      </c>
    </row>
    <row r="76" spans="1:11">
      <c r="A76">
        <v>74</v>
      </c>
      <c r="B76" s="1" t="s">
        <v>12</v>
      </c>
      <c r="C76" t="s">
        <v>17</v>
      </c>
      <c r="D76" t="s">
        <v>17</v>
      </c>
      <c r="E76">
        <f t="shared" si="4"/>
        <v>1</v>
      </c>
      <c r="F76" t="s">
        <v>17</v>
      </c>
      <c r="G76">
        <f t="shared" si="5"/>
        <v>1</v>
      </c>
      <c r="H76" t="s">
        <v>17</v>
      </c>
      <c r="I76">
        <f t="shared" si="6"/>
        <v>1</v>
      </c>
      <c r="J76" t="s">
        <v>17</v>
      </c>
      <c r="K76">
        <f t="shared" si="7"/>
        <v>1</v>
      </c>
    </row>
    <row r="77" spans="1:11">
      <c r="A77">
        <v>75</v>
      </c>
      <c r="B77" s="1" t="s">
        <v>12</v>
      </c>
      <c r="C77" t="s">
        <v>15</v>
      </c>
      <c r="D77" t="s">
        <v>15</v>
      </c>
      <c r="E77">
        <f t="shared" si="4"/>
        <v>1</v>
      </c>
      <c r="F77" t="s">
        <v>15</v>
      </c>
      <c r="G77">
        <f t="shared" si="5"/>
        <v>1</v>
      </c>
      <c r="H77" t="s">
        <v>15</v>
      </c>
      <c r="I77">
        <f t="shared" si="6"/>
        <v>1</v>
      </c>
      <c r="J77" t="s">
        <v>15</v>
      </c>
      <c r="K77">
        <f t="shared" si="7"/>
        <v>1</v>
      </c>
    </row>
    <row r="78" spans="1:11">
      <c r="A78">
        <v>76</v>
      </c>
      <c r="B78" s="1" t="s">
        <v>12</v>
      </c>
      <c r="C78" t="s">
        <v>15</v>
      </c>
      <c r="D78" t="s">
        <v>15</v>
      </c>
      <c r="E78">
        <f t="shared" si="4"/>
        <v>1</v>
      </c>
      <c r="F78" t="s">
        <v>15</v>
      </c>
      <c r="G78">
        <f t="shared" si="5"/>
        <v>1</v>
      </c>
      <c r="H78" t="s">
        <v>15</v>
      </c>
      <c r="I78">
        <f t="shared" si="6"/>
        <v>1</v>
      </c>
      <c r="J78" t="s">
        <v>15</v>
      </c>
      <c r="K78">
        <f t="shared" si="7"/>
        <v>1</v>
      </c>
    </row>
    <row r="79" spans="1:11">
      <c r="A79">
        <v>77</v>
      </c>
      <c r="B79" s="1" t="s">
        <v>12</v>
      </c>
      <c r="C79" t="s">
        <v>17</v>
      </c>
      <c r="D79" t="s">
        <v>17</v>
      </c>
      <c r="E79">
        <f t="shared" si="4"/>
        <v>1</v>
      </c>
      <c r="F79" t="s">
        <v>17</v>
      </c>
      <c r="G79">
        <f t="shared" si="5"/>
        <v>1</v>
      </c>
      <c r="H79" t="s">
        <v>17</v>
      </c>
      <c r="I79">
        <f t="shared" si="6"/>
        <v>1</v>
      </c>
      <c r="J79" t="s">
        <v>17</v>
      </c>
      <c r="K79">
        <f t="shared" si="7"/>
        <v>1</v>
      </c>
    </row>
    <row r="80" spans="1:11">
      <c r="A80">
        <v>78</v>
      </c>
      <c r="B80" s="1" t="s">
        <v>12</v>
      </c>
      <c r="C80" t="s">
        <v>16</v>
      </c>
      <c r="D80" t="s">
        <v>16</v>
      </c>
      <c r="E80">
        <f t="shared" si="4"/>
        <v>1</v>
      </c>
      <c r="F80" t="s">
        <v>16</v>
      </c>
      <c r="G80">
        <f t="shared" si="5"/>
        <v>1</v>
      </c>
      <c r="H80" t="s">
        <v>16</v>
      </c>
      <c r="I80">
        <f t="shared" si="6"/>
        <v>1</v>
      </c>
      <c r="J80" t="s">
        <v>16</v>
      </c>
      <c r="K80">
        <f t="shared" si="7"/>
        <v>1</v>
      </c>
    </row>
    <row r="81" spans="1:11">
      <c r="A81">
        <v>79</v>
      </c>
      <c r="B81" s="1" t="s">
        <v>12</v>
      </c>
      <c r="C81" t="s">
        <v>17</v>
      </c>
      <c r="D81" t="s">
        <v>17</v>
      </c>
      <c r="E81">
        <f t="shared" si="4"/>
        <v>1</v>
      </c>
      <c r="F81" t="s">
        <v>17</v>
      </c>
      <c r="G81">
        <f t="shared" si="5"/>
        <v>1</v>
      </c>
      <c r="H81" t="s">
        <v>17</v>
      </c>
      <c r="I81">
        <f t="shared" si="6"/>
        <v>1</v>
      </c>
      <c r="J81" t="s">
        <v>17</v>
      </c>
      <c r="K81">
        <f t="shared" si="7"/>
        <v>1</v>
      </c>
    </row>
    <row r="82" spans="1:11">
      <c r="A82">
        <v>80</v>
      </c>
      <c r="B82" s="1" t="s">
        <v>12</v>
      </c>
      <c r="C82" t="s">
        <v>14</v>
      </c>
      <c r="D82" t="s">
        <v>14</v>
      </c>
      <c r="E82">
        <f t="shared" si="4"/>
        <v>1</v>
      </c>
      <c r="F82" t="s">
        <v>14</v>
      </c>
      <c r="G82">
        <f t="shared" si="5"/>
        <v>1</v>
      </c>
      <c r="H82" t="s">
        <v>14</v>
      </c>
      <c r="I82">
        <f t="shared" si="6"/>
        <v>1</v>
      </c>
      <c r="J82" t="s">
        <v>14</v>
      </c>
      <c r="K82">
        <f t="shared" si="7"/>
        <v>1</v>
      </c>
    </row>
    <row r="83" spans="1:11">
      <c r="A83">
        <v>81</v>
      </c>
      <c r="B83" s="1" t="s">
        <v>13</v>
      </c>
      <c r="C83" t="s">
        <v>14</v>
      </c>
      <c r="D83" t="s">
        <v>14</v>
      </c>
      <c r="E83">
        <f t="shared" si="4"/>
        <v>1</v>
      </c>
      <c r="F83" t="s">
        <v>14</v>
      </c>
      <c r="G83">
        <f t="shared" si="5"/>
        <v>1</v>
      </c>
      <c r="H83" t="s">
        <v>14</v>
      </c>
      <c r="I83">
        <f t="shared" si="6"/>
        <v>1</v>
      </c>
      <c r="J83" t="s">
        <v>14</v>
      </c>
      <c r="K83">
        <f t="shared" si="7"/>
        <v>1</v>
      </c>
    </row>
    <row r="84" spans="1:11">
      <c r="A84">
        <v>82</v>
      </c>
      <c r="B84" s="1" t="s">
        <v>13</v>
      </c>
      <c r="C84" t="s">
        <v>17</v>
      </c>
      <c r="D84" t="s">
        <v>17</v>
      </c>
      <c r="E84">
        <f t="shared" si="4"/>
        <v>1</v>
      </c>
      <c r="F84" t="s">
        <v>17</v>
      </c>
      <c r="G84">
        <f t="shared" si="5"/>
        <v>1</v>
      </c>
      <c r="H84" t="s">
        <v>17</v>
      </c>
      <c r="I84">
        <f t="shared" si="6"/>
        <v>1</v>
      </c>
      <c r="J84" t="s">
        <v>17</v>
      </c>
      <c r="K84">
        <f t="shared" si="7"/>
        <v>1</v>
      </c>
    </row>
    <row r="85" spans="1:11">
      <c r="A85">
        <v>83</v>
      </c>
      <c r="B85" s="1" t="s">
        <v>13</v>
      </c>
      <c r="C85" t="s">
        <v>17</v>
      </c>
      <c r="D85" t="s">
        <v>17</v>
      </c>
      <c r="E85">
        <f t="shared" si="4"/>
        <v>1</v>
      </c>
      <c r="F85" t="s">
        <v>17</v>
      </c>
      <c r="G85">
        <f t="shared" si="5"/>
        <v>1</v>
      </c>
      <c r="H85" t="s">
        <v>17</v>
      </c>
      <c r="I85">
        <f t="shared" si="6"/>
        <v>1</v>
      </c>
      <c r="J85" t="s">
        <v>15</v>
      </c>
      <c r="K85">
        <f t="shared" si="7"/>
        <v>0</v>
      </c>
    </row>
    <row r="86" spans="1:11">
      <c r="A86">
        <v>84</v>
      </c>
      <c r="B86" s="1" t="s">
        <v>13</v>
      </c>
      <c r="C86" t="s">
        <v>17</v>
      </c>
      <c r="D86" t="s">
        <v>15</v>
      </c>
      <c r="E86">
        <f t="shared" si="4"/>
        <v>0</v>
      </c>
      <c r="F86" t="s">
        <v>15</v>
      </c>
      <c r="G86">
        <f t="shared" si="5"/>
        <v>0</v>
      </c>
      <c r="H86" t="s">
        <v>16</v>
      </c>
      <c r="I86">
        <f t="shared" si="6"/>
        <v>0</v>
      </c>
      <c r="J86" t="s">
        <v>17</v>
      </c>
      <c r="K86">
        <f t="shared" si="7"/>
        <v>1</v>
      </c>
    </row>
    <row r="87" spans="1:11">
      <c r="A87">
        <v>85</v>
      </c>
      <c r="B87" s="1" t="s">
        <v>13</v>
      </c>
      <c r="C87" t="s">
        <v>15</v>
      </c>
      <c r="D87" t="s">
        <v>15</v>
      </c>
      <c r="E87">
        <f t="shared" si="4"/>
        <v>1</v>
      </c>
      <c r="F87" t="s">
        <v>15</v>
      </c>
      <c r="G87">
        <f t="shared" si="5"/>
        <v>1</v>
      </c>
      <c r="H87" t="s">
        <v>15</v>
      </c>
      <c r="I87">
        <f t="shared" si="6"/>
        <v>1</v>
      </c>
      <c r="J87" t="s">
        <v>16</v>
      </c>
      <c r="K87">
        <f t="shared" si="7"/>
        <v>0</v>
      </c>
    </row>
    <row r="88" spans="1:11">
      <c r="A88">
        <v>86</v>
      </c>
      <c r="B88" s="1" t="s">
        <v>13</v>
      </c>
      <c r="C88" t="s">
        <v>14</v>
      </c>
      <c r="D88" t="s">
        <v>14</v>
      </c>
      <c r="E88">
        <f t="shared" si="4"/>
        <v>1</v>
      </c>
      <c r="F88" t="s">
        <v>14</v>
      </c>
      <c r="G88">
        <f t="shared" si="5"/>
        <v>1</v>
      </c>
      <c r="H88" t="s">
        <v>14</v>
      </c>
      <c r="I88">
        <f t="shared" si="6"/>
        <v>1</v>
      </c>
      <c r="J88" t="s">
        <v>14</v>
      </c>
      <c r="K88">
        <f t="shared" si="7"/>
        <v>1</v>
      </c>
    </row>
    <row r="89" spans="1:11">
      <c r="A89">
        <v>87</v>
      </c>
      <c r="B89" s="1" t="s">
        <v>13</v>
      </c>
      <c r="C89" t="s">
        <v>16</v>
      </c>
      <c r="D89" t="s">
        <v>14</v>
      </c>
      <c r="E89">
        <f t="shared" si="4"/>
        <v>0</v>
      </c>
      <c r="F89" t="s">
        <v>14</v>
      </c>
      <c r="G89">
        <f t="shared" si="5"/>
        <v>0</v>
      </c>
      <c r="H89" t="s">
        <v>14</v>
      </c>
      <c r="I89">
        <f t="shared" si="6"/>
        <v>0</v>
      </c>
      <c r="J89" t="s">
        <v>15</v>
      </c>
      <c r="K89">
        <f t="shared" si="7"/>
        <v>0</v>
      </c>
    </row>
    <row r="90" spans="1:11">
      <c r="A90">
        <v>88</v>
      </c>
      <c r="B90" s="1" t="s">
        <v>13</v>
      </c>
      <c r="C90" t="s">
        <v>17</v>
      </c>
      <c r="D90" t="s">
        <v>17</v>
      </c>
      <c r="E90">
        <f t="shared" si="4"/>
        <v>1</v>
      </c>
      <c r="F90" t="s">
        <v>17</v>
      </c>
      <c r="G90">
        <f t="shared" si="5"/>
        <v>1</v>
      </c>
      <c r="H90" t="s">
        <v>17</v>
      </c>
      <c r="I90">
        <f t="shared" si="6"/>
        <v>1</v>
      </c>
      <c r="J90" t="s">
        <v>17</v>
      </c>
      <c r="K90">
        <f t="shared" si="7"/>
        <v>1</v>
      </c>
    </row>
    <row r="91" spans="1:11">
      <c r="A91">
        <v>89</v>
      </c>
      <c r="B91" s="1" t="s">
        <v>13</v>
      </c>
      <c r="C91" t="s">
        <v>17</v>
      </c>
      <c r="D91" t="s">
        <v>15</v>
      </c>
      <c r="E91">
        <f t="shared" si="4"/>
        <v>0</v>
      </c>
      <c r="F91" t="s">
        <v>15</v>
      </c>
      <c r="G91">
        <f t="shared" si="5"/>
        <v>0</v>
      </c>
      <c r="H91" t="s">
        <v>15</v>
      </c>
      <c r="I91">
        <f t="shared" si="6"/>
        <v>0</v>
      </c>
      <c r="J91" t="s">
        <v>16</v>
      </c>
      <c r="K91">
        <f t="shared" si="7"/>
        <v>0</v>
      </c>
    </row>
    <row r="92" spans="1:11">
      <c r="A92">
        <v>90</v>
      </c>
      <c r="B92" s="1" t="s">
        <v>13</v>
      </c>
      <c r="C92" t="s">
        <v>16</v>
      </c>
      <c r="D92" t="s">
        <v>16</v>
      </c>
      <c r="E92">
        <f t="shared" si="4"/>
        <v>1</v>
      </c>
      <c r="F92" t="s">
        <v>16</v>
      </c>
      <c r="G92">
        <f t="shared" si="5"/>
        <v>1</v>
      </c>
      <c r="H92" t="s">
        <v>16</v>
      </c>
      <c r="I92">
        <f t="shared" si="6"/>
        <v>1</v>
      </c>
      <c r="J92" t="s">
        <v>15</v>
      </c>
      <c r="K92">
        <f t="shared" si="7"/>
        <v>0</v>
      </c>
    </row>
    <row r="93" spans="1:11">
      <c r="A93">
        <v>91</v>
      </c>
      <c r="B93" s="1" t="s">
        <v>13</v>
      </c>
      <c r="C93" t="s">
        <v>14</v>
      </c>
      <c r="D93" t="s">
        <v>14</v>
      </c>
      <c r="E93">
        <f t="shared" si="4"/>
        <v>1</v>
      </c>
      <c r="F93" t="s">
        <v>14</v>
      </c>
      <c r="G93">
        <f t="shared" si="5"/>
        <v>1</v>
      </c>
      <c r="H93" t="s">
        <v>14</v>
      </c>
      <c r="I93">
        <f t="shared" si="6"/>
        <v>1</v>
      </c>
      <c r="J93" t="s">
        <v>14</v>
      </c>
      <c r="K93">
        <f t="shared" si="7"/>
        <v>1</v>
      </c>
    </row>
    <row r="94" spans="1:11">
      <c r="A94">
        <v>92</v>
      </c>
      <c r="B94" s="1" t="s">
        <v>13</v>
      </c>
      <c r="C94" t="s">
        <v>14</v>
      </c>
      <c r="D94" t="s">
        <v>15</v>
      </c>
      <c r="E94">
        <f t="shared" si="4"/>
        <v>0</v>
      </c>
      <c r="F94" t="s">
        <v>14</v>
      </c>
      <c r="G94">
        <f t="shared" si="5"/>
        <v>1</v>
      </c>
      <c r="H94" t="s">
        <v>14</v>
      </c>
      <c r="I94">
        <f t="shared" si="6"/>
        <v>1</v>
      </c>
      <c r="J94" t="s">
        <v>14</v>
      </c>
      <c r="K94">
        <f t="shared" si="7"/>
        <v>1</v>
      </c>
    </row>
    <row r="95" spans="1:11">
      <c r="A95">
        <v>93</v>
      </c>
      <c r="B95" s="1" t="s">
        <v>13</v>
      </c>
      <c r="C95" t="s">
        <v>15</v>
      </c>
      <c r="D95" t="s">
        <v>16</v>
      </c>
      <c r="E95">
        <f t="shared" si="4"/>
        <v>0</v>
      </c>
      <c r="F95" t="s">
        <v>16</v>
      </c>
      <c r="G95">
        <f t="shared" si="5"/>
        <v>0</v>
      </c>
      <c r="H95" t="s">
        <v>16</v>
      </c>
      <c r="I95">
        <f t="shared" si="6"/>
        <v>0</v>
      </c>
      <c r="J95" t="s">
        <v>14</v>
      </c>
      <c r="K95">
        <f t="shared" si="7"/>
        <v>0</v>
      </c>
    </row>
    <row r="96" spans="1:11">
      <c r="A96">
        <v>94</v>
      </c>
      <c r="B96" s="1" t="s">
        <v>13</v>
      </c>
      <c r="C96" t="s">
        <v>15</v>
      </c>
      <c r="D96" t="s">
        <v>15</v>
      </c>
      <c r="E96">
        <f t="shared" si="4"/>
        <v>1</v>
      </c>
      <c r="F96" t="s">
        <v>15</v>
      </c>
      <c r="G96">
        <f t="shared" si="5"/>
        <v>1</v>
      </c>
      <c r="H96" t="s">
        <v>15</v>
      </c>
      <c r="I96">
        <f t="shared" si="6"/>
        <v>1</v>
      </c>
      <c r="J96" t="s">
        <v>15</v>
      </c>
      <c r="K96">
        <f t="shared" si="7"/>
        <v>1</v>
      </c>
    </row>
    <row r="97" spans="1:11">
      <c r="A97">
        <v>95</v>
      </c>
      <c r="B97" s="1" t="s">
        <v>13</v>
      </c>
      <c r="C97" t="s">
        <v>16</v>
      </c>
      <c r="D97" t="s">
        <v>16</v>
      </c>
      <c r="E97">
        <f t="shared" si="4"/>
        <v>1</v>
      </c>
      <c r="F97" t="s">
        <v>16</v>
      </c>
      <c r="G97">
        <f t="shared" si="5"/>
        <v>1</v>
      </c>
      <c r="H97" t="s">
        <v>16</v>
      </c>
      <c r="I97">
        <f t="shared" si="6"/>
        <v>1</v>
      </c>
      <c r="J97" t="s">
        <v>16</v>
      </c>
      <c r="K97">
        <f t="shared" si="7"/>
        <v>1</v>
      </c>
    </row>
    <row r="98" spans="1:11">
      <c r="A98">
        <v>96</v>
      </c>
      <c r="B98" s="1" t="s">
        <v>13</v>
      </c>
      <c r="C98" t="s">
        <v>14</v>
      </c>
      <c r="D98" t="s">
        <v>14</v>
      </c>
      <c r="E98">
        <f t="shared" si="4"/>
        <v>1</v>
      </c>
      <c r="F98" t="s">
        <v>14</v>
      </c>
      <c r="G98">
        <f t="shared" si="5"/>
        <v>1</v>
      </c>
      <c r="H98" t="s">
        <v>14</v>
      </c>
      <c r="I98">
        <f t="shared" si="6"/>
        <v>1</v>
      </c>
      <c r="J98" t="s">
        <v>14</v>
      </c>
      <c r="K98">
        <f t="shared" si="7"/>
        <v>1</v>
      </c>
    </row>
    <row r="99" spans="1:11">
      <c r="A99">
        <v>97</v>
      </c>
      <c r="B99" s="1" t="s">
        <v>13</v>
      </c>
      <c r="C99" t="s">
        <v>14</v>
      </c>
      <c r="D99" t="s">
        <v>16</v>
      </c>
      <c r="E99">
        <f t="shared" si="4"/>
        <v>0</v>
      </c>
      <c r="F99" t="s">
        <v>16</v>
      </c>
      <c r="G99">
        <f t="shared" si="5"/>
        <v>0</v>
      </c>
      <c r="H99" t="s">
        <v>14</v>
      </c>
      <c r="I99">
        <f t="shared" si="6"/>
        <v>1</v>
      </c>
      <c r="J99" t="s">
        <v>16</v>
      </c>
      <c r="K99">
        <f t="shared" si="7"/>
        <v>0</v>
      </c>
    </row>
    <row r="100" spans="1:11">
      <c r="A100">
        <v>98</v>
      </c>
      <c r="B100" s="1" t="s">
        <v>13</v>
      </c>
      <c r="C100" t="s">
        <v>17</v>
      </c>
      <c r="D100" t="s">
        <v>16</v>
      </c>
      <c r="E100">
        <f t="shared" si="4"/>
        <v>0</v>
      </c>
      <c r="F100" t="s">
        <v>16</v>
      </c>
      <c r="G100">
        <f t="shared" si="5"/>
        <v>0</v>
      </c>
      <c r="H100" t="s">
        <v>16</v>
      </c>
      <c r="I100">
        <f t="shared" si="6"/>
        <v>0</v>
      </c>
      <c r="J100" t="s">
        <v>15</v>
      </c>
      <c r="K100">
        <f t="shared" si="7"/>
        <v>0</v>
      </c>
    </row>
    <row r="101" spans="1:11">
      <c r="A101">
        <v>99</v>
      </c>
      <c r="B101" s="1" t="s">
        <v>13</v>
      </c>
      <c r="C101" t="s">
        <v>14</v>
      </c>
      <c r="D101" t="s">
        <v>17</v>
      </c>
      <c r="E101">
        <f t="shared" si="4"/>
        <v>0</v>
      </c>
      <c r="F101" t="s">
        <v>17</v>
      </c>
      <c r="G101">
        <f t="shared" si="5"/>
        <v>0</v>
      </c>
      <c r="H101" t="s">
        <v>17</v>
      </c>
      <c r="I101">
        <f t="shared" si="6"/>
        <v>0</v>
      </c>
      <c r="J101" t="s">
        <v>17</v>
      </c>
      <c r="K101">
        <f t="shared" si="7"/>
        <v>0</v>
      </c>
    </row>
    <row r="102" spans="1:11">
      <c r="A102">
        <v>100</v>
      </c>
      <c r="B102" s="1" t="s">
        <v>13</v>
      </c>
      <c r="C102" t="s">
        <v>16</v>
      </c>
      <c r="D102" t="s">
        <v>14</v>
      </c>
      <c r="E102">
        <f t="shared" si="4"/>
        <v>0</v>
      </c>
      <c r="F102" t="s">
        <v>14</v>
      </c>
      <c r="G102">
        <f t="shared" si="5"/>
        <v>0</v>
      </c>
      <c r="H102" t="s">
        <v>14</v>
      </c>
      <c r="I102">
        <f t="shared" si="6"/>
        <v>0</v>
      </c>
      <c r="J102" t="s">
        <v>14</v>
      </c>
      <c r="K102">
        <f t="shared" si="7"/>
        <v>0</v>
      </c>
    </row>
    <row r="103" spans="1:11">
      <c r="I103" t="str">
        <f t="shared" si="6"/>
        <v/>
      </c>
      <c r="K103" t="str">
        <f t="shared" si="7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B43B-07BE-40CC-8657-227A3378878D}">
  <dimension ref="A1:L6"/>
  <sheetViews>
    <sheetView workbookViewId="0">
      <selection activeCell="K24" sqref="K24"/>
    </sheetView>
  </sheetViews>
  <sheetFormatPr baseColWidth="10" defaultRowHeight="14.4"/>
  <cols>
    <col min="1" max="1" width="19.88671875" customWidth="1"/>
    <col min="2" max="2" width="17.21875" customWidth="1"/>
    <col min="3" max="3" width="18.88671875" customWidth="1"/>
    <col min="4" max="4" width="20.109375" customWidth="1"/>
    <col min="5" max="5" width="18.88671875" customWidth="1"/>
    <col min="7" max="7" width="21.44140625" customWidth="1"/>
    <col min="8" max="8" width="16.6640625" customWidth="1"/>
    <col min="11" max="11" width="16.5546875" customWidth="1"/>
    <col min="12" max="12" width="17.21875" customWidth="1"/>
  </cols>
  <sheetData>
    <row r="1" spans="1:12">
      <c r="A1" t="s">
        <v>19</v>
      </c>
      <c r="B1" t="s">
        <v>20</v>
      </c>
      <c r="C1" t="s">
        <v>21</v>
      </c>
      <c r="D1" t="s">
        <v>23</v>
      </c>
      <c r="E1" t="s">
        <v>22</v>
      </c>
      <c r="G1" t="s">
        <v>27</v>
      </c>
      <c r="H1" t="s">
        <v>28</v>
      </c>
      <c r="J1" t="s">
        <v>29</v>
      </c>
      <c r="K1" t="s">
        <v>30</v>
      </c>
      <c r="L1" t="s">
        <v>31</v>
      </c>
    </row>
    <row r="2" spans="1:12">
      <c r="A2" t="s">
        <v>3</v>
      </c>
      <c r="B2" s="3">
        <f>AVERAGEIF(Datos!$B$2:$B$101, A2, Datos!$I$2:$I$101)</f>
        <v>1</v>
      </c>
      <c r="C2" s="3">
        <f>AVERAGEIF(Datos!$B$2:$B$101, A2, Datos!$K$2:$K$101)</f>
        <v>1</v>
      </c>
      <c r="D2" s="3">
        <f>AVERAGEIF(Datos!$B$2:$B$101, A2, Datos!$E$2:$E$101)</f>
        <v>1</v>
      </c>
      <c r="E2" s="3">
        <f>AVERAGEIF(Datos!$B$2:$B$101, A2, Datos!$G$2:$G$101)</f>
        <v>1</v>
      </c>
      <c r="G2" t="str">
        <f>A2</f>
        <v>1.Prog e Ing</v>
      </c>
      <c r="H2" s="3">
        <f>AVERAGE(B2:E2)</f>
        <v>1</v>
      </c>
      <c r="J2" s="4" t="s">
        <v>32</v>
      </c>
      <c r="K2" s="3">
        <f>AVERAGE(B2:B6)</f>
        <v>0.9168421052631579</v>
      </c>
      <c r="L2" s="3">
        <f>AVERAGE(C2:C6)</f>
        <v>0.89526315789473687</v>
      </c>
    </row>
    <row r="3" spans="1:12">
      <c r="A3" t="s">
        <v>9</v>
      </c>
      <c r="B3" s="3">
        <f>AVERAGEIF(Datos!$B$2:$B$101, A3, Datos!$I$2:$I$101)</f>
        <v>0.95</v>
      </c>
      <c r="C3" s="3">
        <f>AVERAGEIF(Datos!$B$2:$B$101, A3, Datos!$K$2:$K$101)</f>
        <v>0.95</v>
      </c>
      <c r="D3" s="3">
        <f>AVERAGEIF(Datos!$B$2:$B$101, A3, Datos!$E$2:$E$101)</f>
        <v>0.95</v>
      </c>
      <c r="E3" s="3">
        <f>AVERAGEIF(Datos!$B$2:$B$101, A3, Datos!$G$2:$G$101)</f>
        <v>0.95</v>
      </c>
      <c r="G3" t="str">
        <f t="shared" ref="G3:G6" si="0">A3</f>
        <v>2.Base de datos</v>
      </c>
      <c r="H3" s="3">
        <f t="shared" ref="H3:H6" si="1">AVERAGE(B3:E3)</f>
        <v>0.95</v>
      </c>
      <c r="J3" t="s">
        <v>33</v>
      </c>
      <c r="K3" s="3">
        <f>AVERAGE(D2:D6)</f>
        <v>0.90578947368421048</v>
      </c>
      <c r="L3" s="3">
        <f>AVERAGE(E2:E6)</f>
        <v>0.91631578947368431</v>
      </c>
    </row>
    <row r="4" spans="1:12">
      <c r="A4" t="s">
        <v>11</v>
      </c>
      <c r="B4" s="3">
        <f>AVERAGEIF(Datos!$B$2:$B$101, A4, Datos!$I$2:$I$101)</f>
        <v>1</v>
      </c>
      <c r="C4" s="3">
        <f>AVERAGEIF(Datos!$B$2:$B$101, A4, Datos!$K$2:$K$101)</f>
        <v>1</v>
      </c>
      <c r="D4" s="3">
        <f>AVERAGEIF(Datos!$B$2:$B$101, A4, Datos!$E$2:$E$101)</f>
        <v>1</v>
      </c>
      <c r="E4" s="3">
        <f>AVERAGEIF(Datos!$B$2:$B$101, A4, Datos!$G$2:$G$101)</f>
        <v>1</v>
      </c>
      <c r="G4" t="str">
        <f t="shared" si="0"/>
        <v>3.Sistemas y hadware</v>
      </c>
      <c r="H4" s="3">
        <f t="shared" si="1"/>
        <v>1</v>
      </c>
    </row>
    <row r="5" spans="1:12">
      <c r="A5" t="s">
        <v>12</v>
      </c>
      <c r="B5" s="3">
        <f>AVERAGEIF(Datos!$B$2:$B$101, A5, Datos!$I$2:$I$101)</f>
        <v>0.95</v>
      </c>
      <c r="C5" s="3">
        <f>AVERAGEIF(Datos!$B$2:$B$101, A5, Datos!$K$2:$K$101)</f>
        <v>1</v>
      </c>
      <c r="D5" s="3">
        <f>AVERAGEIF(Datos!$B$2:$B$101, A5, Datos!$E$2:$E$101)</f>
        <v>1</v>
      </c>
      <c r="E5" s="3">
        <f>AVERAGEIF(Datos!$B$2:$B$101, A5, Datos!$G$2:$G$101)</f>
        <v>1</v>
      </c>
      <c r="G5" t="str">
        <f t="shared" si="0"/>
        <v>4.Redes y comunicacion</v>
      </c>
      <c r="H5" s="3">
        <f t="shared" si="1"/>
        <v>0.98750000000000004</v>
      </c>
    </row>
    <row r="6" spans="1:12">
      <c r="A6" t="s">
        <v>13</v>
      </c>
      <c r="B6" s="3">
        <f>AVERAGEIF(Datos!$B$2:$B$101, A6, Datos!$I$2:$I$101)</f>
        <v>0.68421052631578949</v>
      </c>
      <c r="C6" s="3">
        <f>AVERAGEIF(Datos!$B$2:$B$101, A6, Datos!$K$2:$K$101)</f>
        <v>0.52631578947368418</v>
      </c>
      <c r="D6" s="3">
        <f>AVERAGEIF(Datos!$B$2:$B$101, A6, Datos!$E$2:$E$101)</f>
        <v>0.57894736842105265</v>
      </c>
      <c r="E6" s="3">
        <f>AVERAGEIF(Datos!$B$2:$B$101, A6, Datos!$G$2:$G$101)</f>
        <v>0.63157894736842102</v>
      </c>
      <c r="G6" t="str">
        <f t="shared" si="0"/>
        <v>5.Ciberseguridad</v>
      </c>
      <c r="H6" s="3">
        <f t="shared" si="1"/>
        <v>0.60526315789473684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fernandez ruiz</dc:creator>
  <cp:lastModifiedBy>maria fernandez ruiz</cp:lastModifiedBy>
  <dcterms:created xsi:type="dcterms:W3CDTF">2026-08-06T05:03:29Z</dcterms:created>
  <dcterms:modified xsi:type="dcterms:W3CDTF">2026-08-11T05:41:41Z</dcterms:modified>
</cp:coreProperties>
</file>